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lgroup365-my.sharepoint.com/personal/vladimir_gaponenko_icl-group_com/Documents/גיבוי/Portfolio/NN in Excel/"/>
    </mc:Choice>
  </mc:AlternateContent>
  <xr:revisionPtr revIDLastSave="10498" documentId="8_{ED6A36B8-D9DC-4718-AE1F-93483259E9CE}" xr6:coauthVersionLast="47" xr6:coauthVersionMax="47" xr10:uidLastSave="{F7A590E3-97AC-4447-B175-D27C778BC3A5}"/>
  <bookViews>
    <workbookView xWindow="-120" yWindow="-120" windowWidth="29040" windowHeight="15720" xr2:uid="{220CD941-20A4-446C-B197-36ADD823A8D7}"/>
  </bookViews>
  <sheets>
    <sheet name="1. יכולות אקסל" sheetId="4" r:id="rId1"/>
    <sheet name="2. רשת נוירונים" sheetId="6" r:id="rId2"/>
    <sheet name="8. ייצוא לאקסל" sheetId="2" r:id="rId3"/>
  </sheets>
  <definedNames>
    <definedName name="solver_adj" localSheetId="0" hidden="1">'1. יכולות אקסל'!$E$57:$E$59</definedName>
    <definedName name="solver_adj" localSheetId="2" hidden="1">'8. ייצוא לאקסל'!$D$4,'8. ייצוא לאקסל'!$D$6,'8. ייצוא לאקסל'!$D$7,'8. ייצוא לאקסל'!$D$11,'8. ייצוא לאקסל'!$D$12,'8. ייצוא לאקסל'!$D$13,'8. ייצוא לאקסל'!$D$16,'8. ייצוא לאקסל'!$D$17,'8. ייצוא לאקסל'!$D$19,'8. ייצוא לאקסל'!$D$22,'8. ייצוא לאקסל'!$D$24,'8. ייצוא לאקסל'!$D$27,'8. ייצוא לאקסל'!$D$29,'8. ייצוא לאקסל'!$D$32,'8. ייצוא לאקסל'!$D$34</definedName>
    <definedName name="solver_cvg" localSheetId="0" hidden="1">0.0001</definedName>
    <definedName name="solver_cvg" localSheetId="2" hidden="1">0.0001</definedName>
    <definedName name="solver_drv" localSheetId="0" hidden="1">2</definedName>
    <definedName name="solver_drv" localSheetId="2" hidden="1">2</definedName>
    <definedName name="solver_eng" localSheetId="0" hidden="1">1</definedName>
    <definedName name="solver_eng" localSheetId="2" hidden="1">1</definedName>
    <definedName name="solver_est" localSheetId="0" hidden="1">1</definedName>
    <definedName name="solver_est" localSheetId="2" hidden="1">1</definedName>
    <definedName name="solver_itr" localSheetId="0" hidden="1">2147483647</definedName>
    <definedName name="solver_itr" localSheetId="2" hidden="1">2147483647</definedName>
    <definedName name="solver_lhs1" localSheetId="2" hidden="1">'8. ייצוא לאקסל'!#REF!</definedName>
    <definedName name="solver_lhs2" localSheetId="2" hidden="1">'8. ייצוא לאקסל'!#REF!</definedName>
    <definedName name="solver_lhs3" localSheetId="2" hidden="1">'8. ייצוא לאקסל'!#REF!</definedName>
    <definedName name="solver_lhs4" localSheetId="2" hidden="1">'8. ייצוא לאקסל'!#REF!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2</definedName>
    <definedName name="solver_neg" localSheetId="2" hidden="1">1</definedName>
    <definedName name="solver_nod" localSheetId="0" hidden="1">2147483647</definedName>
    <definedName name="solver_nod" localSheetId="2" hidden="1">2147483647</definedName>
    <definedName name="solver_num" localSheetId="0" hidden="1">0</definedName>
    <definedName name="solver_num" localSheetId="2" hidden="1">0</definedName>
    <definedName name="solver_nwt" localSheetId="0" hidden="1">1</definedName>
    <definedName name="solver_nwt" localSheetId="2" hidden="1">1</definedName>
    <definedName name="solver_opt" localSheetId="0" hidden="1">'1. יכולות אקסל'!$K$56</definedName>
    <definedName name="solver_opt" localSheetId="2" hidden="1">'8. ייצוא לאקסל'!$AA$35</definedName>
    <definedName name="solver_pre" localSheetId="0" hidden="1">0.000001</definedName>
    <definedName name="solver_pre" localSheetId="2" hidden="1">0.00001</definedName>
    <definedName name="solver_rbv" localSheetId="0" hidden="1">1</definedName>
    <definedName name="solver_rbv" localSheetId="2" hidden="1">1</definedName>
    <definedName name="solver_rel1" localSheetId="2" hidden="1">2</definedName>
    <definedName name="solver_rel2" localSheetId="2" hidden="1">2</definedName>
    <definedName name="solver_rel3" localSheetId="2" hidden="1">2</definedName>
    <definedName name="solver_rel4" localSheetId="2" hidden="1">2</definedName>
    <definedName name="solver_rhs1" localSheetId="2" hidden="1">0</definedName>
    <definedName name="solver_rhs2" localSheetId="2" hidden="1">0</definedName>
    <definedName name="solver_rhs3" localSheetId="2" hidden="1">0</definedName>
    <definedName name="solver_rhs4" localSheetId="2" hidden="1">0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1</definedName>
    <definedName name="solver_scl" localSheetId="2" hidden="1">1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0.01</definedName>
    <definedName name="solver_tol" localSheetId="2" hidden="1">0.01</definedName>
    <definedName name="solver_typ" localSheetId="0" hidden="1">3</definedName>
    <definedName name="solver_typ" localSheetId="2" hidden="1">3</definedName>
    <definedName name="solver_val" localSheetId="0" hidden="1">0</definedName>
    <definedName name="solver_val" localSheetId="2" hidden="1">0</definedName>
    <definedName name="solver_ver" localSheetId="0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2" i="2" l="1" a="1"/>
  <c r="AT32" i="2" s="1"/>
  <c r="N32" i="6"/>
  <c r="N33" i="6"/>
  <c r="C32" i="6"/>
  <c r="D32" i="6"/>
  <c r="E32" i="6"/>
  <c r="F32" i="6"/>
  <c r="G32" i="6"/>
  <c r="H32" i="6"/>
  <c r="I32" i="6"/>
  <c r="J32" i="6"/>
  <c r="K32" i="6"/>
  <c r="L32" i="6"/>
  <c r="M32" i="6"/>
  <c r="C33" i="6"/>
  <c r="D33" i="6"/>
  <c r="E33" i="6"/>
  <c r="F33" i="6"/>
  <c r="G33" i="6"/>
  <c r="H33" i="6"/>
  <c r="I33" i="6"/>
  <c r="J33" i="6"/>
  <c r="K33" i="6"/>
  <c r="L33" i="6"/>
  <c r="M33" i="6"/>
  <c r="C34" i="6"/>
  <c r="D34" i="6"/>
  <c r="E34" i="6"/>
  <c r="F34" i="6"/>
  <c r="G34" i="6"/>
  <c r="H34" i="6"/>
  <c r="I34" i="6"/>
  <c r="J34" i="6"/>
  <c r="K34" i="6"/>
  <c r="L34" i="6"/>
  <c r="M34" i="6"/>
  <c r="N34" i="6"/>
  <c r="B34" i="6"/>
  <c r="B33" i="6"/>
  <c r="B32" i="6"/>
  <c r="N15" i="6"/>
  <c r="N17" i="6"/>
  <c r="N14" i="6"/>
  <c r="N16" i="6" s="1"/>
  <c r="N18" i="6" s="1"/>
  <c r="B8" i="6"/>
  <c r="B9" i="6"/>
  <c r="B10" i="6"/>
  <c r="B11" i="6"/>
  <c r="B12" i="6"/>
  <c r="B13" i="6"/>
  <c r="B14" i="6"/>
  <c r="B15" i="6"/>
  <c r="B16" i="6"/>
  <c r="B17" i="6"/>
  <c r="B7" i="6"/>
  <c r="H53" i="4"/>
  <c r="H54" i="4"/>
  <c r="H55" i="4"/>
  <c r="H56" i="4"/>
  <c r="H52" i="4"/>
  <c r="B92" i="4"/>
  <c r="B93" i="4"/>
  <c r="I54" i="4"/>
  <c r="I55" i="4"/>
  <c r="I56" i="4"/>
  <c r="I53" i="4"/>
  <c r="I52" i="4"/>
  <c r="B65" i="4"/>
  <c r="B66" i="4"/>
  <c r="B67" i="4"/>
  <c r="B68" i="4"/>
  <c r="B69" i="4"/>
  <c r="B70" i="4"/>
  <c r="B71" i="4"/>
  <c r="B53" i="4"/>
  <c r="B54" i="4"/>
  <c r="B55" i="4"/>
  <c r="B56" i="4"/>
  <c r="B57" i="4"/>
  <c r="B58" i="4"/>
  <c r="B59" i="4"/>
  <c r="B60" i="4"/>
  <c r="B61" i="4"/>
  <c r="B62" i="4"/>
  <c r="B63" i="4"/>
  <c r="B64" i="4"/>
  <c r="B52" i="4"/>
  <c r="I84" i="4"/>
  <c r="I85" i="4"/>
  <c r="I86" i="4"/>
  <c r="I87" i="4"/>
  <c r="I83" i="4"/>
  <c r="B90" i="4"/>
  <c r="B91" i="4"/>
  <c r="H87" i="4" s="1"/>
  <c r="B83" i="4"/>
  <c r="H83" i="4" s="1"/>
  <c r="B84" i="4"/>
  <c r="B85" i="4"/>
  <c r="H84" i="4" s="1"/>
  <c r="B86" i="4"/>
  <c r="B87" i="4"/>
  <c r="H85" i="4" s="1"/>
  <c r="B88" i="4"/>
  <c r="B89" i="4"/>
  <c r="H86" i="4" s="1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D57" i="2"/>
  <c r="D56" i="2"/>
  <c r="D55" i="2"/>
  <c r="H54" i="2"/>
  <c r="D54" i="2"/>
  <c r="G53" i="2"/>
  <c r="D53" i="2"/>
  <c r="F52" i="2"/>
  <c r="D52" i="2"/>
  <c r="E52" i="2" s="1"/>
  <c r="D51" i="2"/>
  <c r="D46" i="2"/>
  <c r="D45" i="2"/>
  <c r="D44" i="2"/>
  <c r="D43" i="2"/>
  <c r="E42" i="2"/>
  <c r="D42" i="2"/>
  <c r="D41" i="2"/>
  <c r="E41" i="2" s="1"/>
  <c r="D40" i="2"/>
  <c r="N39" i="2"/>
  <c r="M39" i="2"/>
  <c r="L39" i="2"/>
  <c r="S39" i="2" s="1"/>
  <c r="T39" i="2" s="1"/>
  <c r="Z39" i="2" s="1"/>
  <c r="K39" i="2"/>
  <c r="J39" i="2"/>
  <c r="I39" i="2"/>
  <c r="J34" i="2"/>
  <c r="I34" i="2"/>
  <c r="H34" i="2"/>
  <c r="K32" i="2"/>
  <c r="H32" i="2" s="1"/>
  <c r="J29" i="2"/>
  <c r="I29" i="2"/>
  <c r="H29" i="2"/>
  <c r="K27" i="2"/>
  <c r="H27" i="2"/>
  <c r="J24" i="2"/>
  <c r="I24" i="2"/>
  <c r="H24" i="2"/>
  <c r="K22" i="2"/>
  <c r="H22" i="2"/>
  <c r="J19" i="2"/>
  <c r="I19" i="2"/>
  <c r="H19" i="2"/>
  <c r="J18" i="2"/>
  <c r="H18" i="2"/>
  <c r="D18" i="2"/>
  <c r="AT17" i="2" a="1"/>
  <c r="AT17" i="2" s="1"/>
  <c r="K17" i="2"/>
  <c r="H17" i="2" s="1"/>
  <c r="J13" i="2"/>
  <c r="H13" i="2"/>
  <c r="K12" i="2"/>
  <c r="H12" i="2"/>
  <c r="K7" i="2"/>
  <c r="H7" i="2" s="1"/>
  <c r="E5" i="2"/>
  <c r="D5" i="2"/>
  <c r="S3" i="2"/>
  <c r="R3" i="2"/>
  <c r="Q3" i="2"/>
  <c r="P3" i="2"/>
  <c r="M3" i="2"/>
  <c r="L3" i="2"/>
  <c r="J54" i="4" l="1"/>
  <c r="J55" i="4"/>
  <c r="J56" i="4"/>
  <c r="J53" i="4"/>
  <c r="J52" i="4"/>
  <c r="J85" i="4"/>
  <c r="J86" i="4"/>
  <c r="J87" i="4"/>
  <c r="J83" i="4"/>
  <c r="J84" i="4"/>
  <c r="H55" i="2"/>
  <c r="G54" i="2"/>
  <c r="F53" i="2"/>
  <c r="M53" i="2" s="1"/>
  <c r="M52" i="2"/>
  <c r="K52" i="2"/>
  <c r="N52" i="2"/>
  <c r="O52" i="2"/>
  <c r="L52" i="2"/>
  <c r="E53" i="2"/>
  <c r="E54" i="2"/>
  <c r="E51" i="2"/>
  <c r="E43" i="2"/>
  <c r="E44" i="2"/>
  <c r="E40" i="2"/>
  <c r="E46" i="2"/>
  <c r="E55" i="2"/>
  <c r="E56" i="2"/>
  <c r="E57" i="2"/>
  <c r="E45" i="2"/>
  <c r="AA40" i="2"/>
  <c r="AA39" i="2"/>
  <c r="E10" i="2"/>
  <c r="AH5" i="2"/>
  <c r="AD5" i="2"/>
  <c r="F5" i="2"/>
  <c r="I40" i="2" s="1"/>
  <c r="J5" i="2"/>
  <c r="D10" i="2"/>
  <c r="F10" i="2"/>
  <c r="I41" i="2" s="1"/>
  <c r="J10" i="2"/>
  <c r="H5" i="2"/>
  <c r="K40" i="2" s="1"/>
  <c r="K5" i="2"/>
  <c r="H10" i="2"/>
  <c r="K41" i="2" s="1"/>
  <c r="K10" i="2"/>
  <c r="I5" i="2"/>
  <c r="I10" i="2" s="1"/>
  <c r="G5" i="2"/>
  <c r="G10" i="2" s="1"/>
  <c r="U3" i="2"/>
  <c r="O3" i="2"/>
  <c r="V3" i="2"/>
  <c r="T3" i="2"/>
  <c r="K87" i="4" l="1"/>
  <c r="K56" i="4"/>
  <c r="H56" i="2"/>
  <c r="G55" i="2"/>
  <c r="K53" i="2"/>
  <c r="N53" i="2"/>
  <c r="O53" i="2"/>
  <c r="F54" i="2"/>
  <c r="M54" i="2" s="1"/>
  <c r="L53" i="2"/>
  <c r="AA41" i="2"/>
  <c r="E15" i="2"/>
  <c r="AD10" i="2"/>
  <c r="AH10" i="2"/>
  <c r="M40" i="2"/>
  <c r="R5" i="2"/>
  <c r="I15" i="2"/>
  <c r="H15" i="2"/>
  <c r="K42" i="2" s="1"/>
  <c r="K15" i="2"/>
  <c r="D15" i="2"/>
  <c r="F15" i="2" s="1"/>
  <c r="I42" i="2" s="1"/>
  <c r="G15" i="2"/>
  <c r="J15" i="2"/>
  <c r="R10" i="2"/>
  <c r="M41" i="2"/>
  <c r="L10" i="2"/>
  <c r="S10" i="2"/>
  <c r="J41" i="2"/>
  <c r="Q5" i="2"/>
  <c r="N40" i="2"/>
  <c r="L41" i="2"/>
  <c r="M10" i="2"/>
  <c r="P10" i="2"/>
  <c r="Q10" i="2"/>
  <c r="U10" i="2"/>
  <c r="N41" i="2"/>
  <c r="M5" i="2"/>
  <c r="P5" i="2"/>
  <c r="L40" i="2"/>
  <c r="S40" i="2" s="1"/>
  <c r="T40" i="2" s="1"/>
  <c r="Z40" i="2" s="1"/>
  <c r="J40" i="2"/>
  <c r="S5" i="2"/>
  <c r="Q39" i="2"/>
  <c r="Y39" i="2" s="1"/>
  <c r="Q40" i="2"/>
  <c r="Y40" i="2" s="1"/>
  <c r="R39" i="2"/>
  <c r="R40" i="2"/>
  <c r="P39" i="2"/>
  <c r="X39" i="2" s="1"/>
  <c r="P40" i="2"/>
  <c r="X40" i="2" s="1"/>
  <c r="Q52" i="2"/>
  <c r="P52" i="2"/>
  <c r="H57" i="2" l="1"/>
  <c r="G56" i="2"/>
  <c r="O54" i="2"/>
  <c r="L54" i="2"/>
  <c r="P54" i="2" s="1"/>
  <c r="N54" i="2"/>
  <c r="Q54" i="2" s="1"/>
  <c r="K54" i="2"/>
  <c r="F55" i="2"/>
  <c r="M55" i="2" s="1"/>
  <c r="E20" i="2"/>
  <c r="AD15" i="2"/>
  <c r="AH15" i="2"/>
  <c r="AA42" i="2"/>
  <c r="P15" i="2"/>
  <c r="T15" i="2"/>
  <c r="L42" i="2"/>
  <c r="S42" i="2" s="1"/>
  <c r="T42" i="2" s="1"/>
  <c r="Z42" i="2" s="1"/>
  <c r="M15" i="2"/>
  <c r="V15" i="2" s="1"/>
  <c r="R42" i="2" s="1"/>
  <c r="N42" i="2"/>
  <c r="Q15" i="2"/>
  <c r="U15" i="2"/>
  <c r="D20" i="2"/>
  <c r="F20" i="2"/>
  <c r="I43" i="2" s="1"/>
  <c r="G20" i="2"/>
  <c r="H20" i="2"/>
  <c r="K43" i="2" s="1"/>
  <c r="I20" i="2"/>
  <c r="J20" i="2"/>
  <c r="K20" i="2"/>
  <c r="S15" i="2"/>
  <c r="L15" i="2"/>
  <c r="J42" i="2"/>
  <c r="R15" i="2"/>
  <c r="M42" i="2"/>
  <c r="AC10" i="2"/>
  <c r="Q41" i="2"/>
  <c r="Y41" i="2" s="1"/>
  <c r="Q53" i="2"/>
  <c r="S41" i="2"/>
  <c r="T41" i="2" s="1"/>
  <c r="Z41" i="2" s="1"/>
  <c r="P53" i="2"/>
  <c r="V10" i="2"/>
  <c r="R41" i="2" s="1"/>
  <c r="T10" i="2"/>
  <c r="V5" i="2"/>
  <c r="U5" i="2"/>
  <c r="AC5" i="2" s="1"/>
  <c r="T5" i="2"/>
  <c r="G57" i="2" l="1"/>
  <c r="O55" i="2"/>
  <c r="L55" i="2"/>
  <c r="P55" i="2" s="1"/>
  <c r="K55" i="2"/>
  <c r="N55" i="2"/>
  <c r="Q55" i="2" s="1"/>
  <c r="F56" i="2"/>
  <c r="M56" i="2" s="1"/>
  <c r="E25" i="2"/>
  <c r="AA43" i="2"/>
  <c r="AB15" i="2"/>
  <c r="AE15" i="2" s="1" a="1"/>
  <c r="AE15" i="2" s="1"/>
  <c r="O15" i="2" s="1"/>
  <c r="N15" i="2" s="1"/>
  <c r="P42" i="2"/>
  <c r="X42" i="2" s="1"/>
  <c r="AG15" i="2"/>
  <c r="AI15" i="2" s="1" a="1"/>
  <c r="AI15" i="2" s="1"/>
  <c r="X15" i="2" s="1"/>
  <c r="AC15" i="2"/>
  <c r="Q42" i="2"/>
  <c r="Y42" i="2" s="1"/>
  <c r="D25" i="2"/>
  <c r="F25" i="2"/>
  <c r="I44" i="2" s="1"/>
  <c r="G25" i="2"/>
  <c r="H25" i="2"/>
  <c r="K44" i="2" s="1"/>
  <c r="I25" i="2"/>
  <c r="J25" i="2"/>
  <c r="K25" i="2"/>
  <c r="L20" i="2"/>
  <c r="S20" i="2"/>
  <c r="J43" i="2"/>
  <c r="M20" i="2"/>
  <c r="P20" i="2"/>
  <c r="T20" i="2"/>
  <c r="P43" i="2" s="1"/>
  <c r="X43" i="2" s="1"/>
  <c r="L43" i="2"/>
  <c r="R20" i="2"/>
  <c r="V20" i="2"/>
  <c r="R43" i="2" s="1"/>
  <c r="M43" i="2"/>
  <c r="Q20" i="2"/>
  <c r="U20" i="2"/>
  <c r="Q43" i="2" s="1"/>
  <c r="Y43" i="2" s="1"/>
  <c r="N43" i="2"/>
  <c r="P41" i="2"/>
  <c r="X41" i="2" s="1"/>
  <c r="AG10" i="2"/>
  <c r="AI10" i="2" s="1" a="1"/>
  <c r="AI10" i="2" s="1"/>
  <c r="X10" i="2" s="1"/>
  <c r="AB10" i="2"/>
  <c r="AE10" i="2" s="1" a="1"/>
  <c r="AE10" i="2" s="1"/>
  <c r="O10" i="2" s="1"/>
  <c r="N10" i="2" s="1"/>
  <c r="Z10" i="2" s="1"/>
  <c r="AG5" i="2"/>
  <c r="AI5" i="2" s="1" a="1"/>
  <c r="AI5" i="2" s="1"/>
  <c r="AB5" i="2"/>
  <c r="AE5" i="2" s="1" a="1"/>
  <c r="AE5" i="2" s="1"/>
  <c r="O5" i="2" s="1"/>
  <c r="N5" i="2" s="1"/>
  <c r="Z5" i="2" s="1"/>
  <c r="L56" i="2" l="1"/>
  <c r="O56" i="2"/>
  <c r="K56" i="2"/>
  <c r="N56" i="2"/>
  <c r="Q56" i="2" s="1"/>
  <c r="F57" i="2"/>
  <c r="AD25" i="2"/>
  <c r="AH25" i="2"/>
  <c r="E30" i="2"/>
  <c r="AA44" i="2"/>
  <c r="D30" i="2"/>
  <c r="F30" i="2"/>
  <c r="I45" i="2" s="1"/>
  <c r="G30" i="2"/>
  <c r="H30" i="2"/>
  <c r="K45" i="2" s="1"/>
  <c r="I30" i="2"/>
  <c r="K30" i="2"/>
  <c r="J30" i="2"/>
  <c r="L25" i="2"/>
  <c r="S25" i="2"/>
  <c r="J44" i="2"/>
  <c r="M25" i="2"/>
  <c r="P25" i="2"/>
  <c r="T25" i="2"/>
  <c r="L44" i="2"/>
  <c r="R25" i="2"/>
  <c r="V25" i="2"/>
  <c r="R44" i="2" s="1"/>
  <c r="M44" i="2"/>
  <c r="Q25" i="2"/>
  <c r="U25" i="2"/>
  <c r="N44" i="2"/>
  <c r="S43" i="2"/>
  <c r="T43" i="2" s="1"/>
  <c r="Z43" i="2" s="1"/>
  <c r="Z20" i="2"/>
  <c r="M57" i="2" l="1"/>
  <c r="O57" i="2"/>
  <c r="L57" i="2"/>
  <c r="P57" i="2" s="1"/>
  <c r="K57" i="2"/>
  <c r="N57" i="2"/>
  <c r="Q57" i="2" s="1"/>
  <c r="AD30" i="2"/>
  <c r="AH30" i="2"/>
  <c r="AA45" i="2"/>
  <c r="E35" i="2"/>
  <c r="D35" i="2"/>
  <c r="F35" i="2"/>
  <c r="I46" i="2" s="1"/>
  <c r="H35" i="2"/>
  <c r="K46" i="2" s="1"/>
  <c r="J35" i="2"/>
  <c r="G35" i="2"/>
  <c r="I35" i="2"/>
  <c r="K35" i="2"/>
  <c r="S30" i="2"/>
  <c r="L30" i="2"/>
  <c r="J45" i="2"/>
  <c r="M30" i="2"/>
  <c r="P30" i="2"/>
  <c r="T30" i="2"/>
  <c r="L45" i="2"/>
  <c r="Q30" i="2"/>
  <c r="U30" i="2"/>
  <c r="N45" i="2"/>
  <c r="R30" i="2"/>
  <c r="V30" i="2"/>
  <c r="R45" i="2" s="1"/>
  <c r="M45" i="2"/>
  <c r="AB25" i="2"/>
  <c r="AG25" i="2"/>
  <c r="AI25" i="2" s="1" a="1"/>
  <c r="AI25" i="2" s="1"/>
  <c r="X25" i="2" s="1"/>
  <c r="P44" i="2"/>
  <c r="X44" i="2" s="1"/>
  <c r="AC25" i="2"/>
  <c r="Q44" i="2"/>
  <c r="Y44" i="2" s="1"/>
  <c r="S44" i="2"/>
  <c r="T44" i="2" s="1"/>
  <c r="Z44" i="2" s="1"/>
  <c r="P56" i="2"/>
  <c r="AA46" i="2" l="1"/>
  <c r="AD35" i="2"/>
  <c r="AH35" i="2"/>
  <c r="R35" i="2"/>
  <c r="M46" i="2"/>
  <c r="S35" i="2"/>
  <c r="J46" i="2"/>
  <c r="L35" i="2"/>
  <c r="M35" i="2"/>
  <c r="V35" i="2" s="1"/>
  <c r="R46" i="2" s="1"/>
  <c r="L46" i="2"/>
  <c r="P35" i="2"/>
  <c r="T35" i="2"/>
  <c r="Q35" i="2"/>
  <c r="U35" i="2"/>
  <c r="N46" i="2"/>
  <c r="AG30" i="2"/>
  <c r="AI30" i="2" s="1" a="1"/>
  <c r="AI30" i="2" s="1"/>
  <c r="X30" i="2" s="1"/>
  <c r="P45" i="2"/>
  <c r="X45" i="2" s="1"/>
  <c r="AB30" i="2"/>
  <c r="AE30" i="2" s="1" a="1"/>
  <c r="AE30" i="2" s="1"/>
  <c r="O30" i="2" s="1"/>
  <c r="N30" i="2" s="1"/>
  <c r="Z30" i="2" s="1"/>
  <c r="AC30" i="2"/>
  <c r="Q45" i="2"/>
  <c r="Y45" i="2" s="1"/>
  <c r="S45" i="2"/>
  <c r="T45" i="2" s="1"/>
  <c r="Z45" i="2" s="1"/>
  <c r="AE25" i="2" a="1"/>
  <c r="AE25" i="2" s="1"/>
  <c r="O25" i="2" s="1"/>
  <c r="N25" i="2" s="1"/>
  <c r="Z25" i="2" s="1"/>
  <c r="AB35" i="2" l="1"/>
  <c r="AG35" i="2"/>
  <c r="AI35" i="2" s="1" a="1"/>
  <c r="AI35" i="2" s="1"/>
  <c r="X35" i="2" s="1"/>
  <c r="P46" i="2"/>
  <c r="X46" i="2" s="1"/>
  <c r="Q46" i="2"/>
  <c r="Y46" i="2" s="1"/>
  <c r="AC35" i="2"/>
  <c r="S46" i="2"/>
  <c r="T46" i="2" s="1"/>
  <c r="Z46" i="2" s="1"/>
  <c r="AE35" i="2" l="1" a="1"/>
  <c r="AE35" i="2" s="1"/>
  <c r="O35" i="2" s="1"/>
  <c r="N35" i="2" s="1"/>
  <c r="Z35" i="2" s="1"/>
  <c r="AA3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<sst xmlns="http://schemas.openxmlformats.org/spreadsheetml/2006/main" count="318" uniqueCount="143">
  <si>
    <t>Sample</t>
  </si>
  <si>
    <t>MgCl2</t>
  </si>
  <si>
    <t>NaCl</t>
  </si>
  <si>
    <t>Solvent</t>
  </si>
  <si>
    <t>T</t>
  </si>
  <si>
    <t>%Cl</t>
  </si>
  <si>
    <t>%Mg</t>
  </si>
  <si>
    <t>%K</t>
  </si>
  <si>
    <t>%Na</t>
  </si>
  <si>
    <t>משקל</t>
  </si>
  <si>
    <t>Temperature</t>
  </si>
  <si>
    <t>%Br</t>
  </si>
  <si>
    <t>%Ca</t>
  </si>
  <si>
    <t>ion bal</t>
  </si>
  <si>
    <t>%Solutes</t>
  </si>
  <si>
    <t>%TDS target</t>
  </si>
  <si>
    <t>%Solvent target</t>
  </si>
  <si>
    <t>MgCl2, gr/kg</t>
  </si>
  <si>
    <t>NaCl, gr/kg</t>
  </si>
  <si>
    <t>KCl, gr/kg</t>
  </si>
  <si>
    <t>CaCl2, gr/kg</t>
  </si>
  <si>
    <t>%MgCl2 db</t>
  </si>
  <si>
    <t>%NaCl db</t>
  </si>
  <si>
    <t>%KCl db</t>
  </si>
  <si>
    <t>%NaCl = f(%MgCl2,T)</t>
  </si>
  <si>
    <t>%MgCl2 = f(T)</t>
  </si>
  <si>
    <t>NaCl solubility surface</t>
  </si>
  <si>
    <t>1 - הגעה לריוויון</t>
  </si>
  <si>
    <t>אדים</t>
  </si>
  <si>
    <t>x</t>
  </si>
  <si>
    <t>y</t>
  </si>
  <si>
    <t>z</t>
  </si>
  <si>
    <t>Scale data</t>
  </si>
  <si>
    <t>scaler X -- mean, stdev: [80.51956522 10.22282609 82.39130435] [ 6.52525594 8.10930857 17.34368481] scaler T -- mean, stdev: [67.11304348] [3.13775111]</t>
  </si>
  <si>
    <t>NaCl sat</t>
  </si>
  <si>
    <t>X mean</t>
  </si>
  <si>
    <t>Layers (input, hidden, output): [3, 2, 1] sigmoid linear Hidden layer weights: [[0.18569297209160898, -2.194729351544137], [-0.5918014287359715, -3.5122991753391277], [0.4110581725040081, -0.645815582277411]] Hidden layer biases: [[-1.848327683342164, -3.488471299398893]] Outlet layer weights: [[-9.624499672343525], [-3.086005066258205]] Outlet layer biases: [[2.042705753226294]]</t>
  </si>
  <si>
    <t>2 - הגעה לקו ריוויון כפול</t>
  </si>
  <si>
    <t>X stdev</t>
  </si>
  <si>
    <t>T mean</t>
  </si>
  <si>
    <t>NaN</t>
  </si>
  <si>
    <t>KCl</t>
  </si>
  <si>
    <t>T stdev</t>
  </si>
  <si>
    <t>Carnallite</t>
  </si>
  <si>
    <t>Na+K</t>
  </si>
  <si>
    <t>3-2-1 sigmoid</t>
  </si>
  <si>
    <t>3 - הגעה לנקודה משולשת</t>
  </si>
  <si>
    <t>Hidden weights</t>
  </si>
  <si>
    <t>Hidden biases</t>
  </si>
  <si>
    <t>Na+K+Mg*K</t>
  </si>
  <si>
    <t>Outlet weights</t>
  </si>
  <si>
    <t>4 - אשלג הופך לקרנליט</t>
  </si>
  <si>
    <t>Outlet biases</t>
  </si>
  <si>
    <t>NaCl double line</t>
  </si>
  <si>
    <t>5a - המשך שיקוע קרנליט</t>
  </si>
  <si>
    <t>scaler X -- mean, stdev: [83.08518519 89.62962963] [ 5.28601956 18.95051675] scaler T -- mean, stdev: [4.05740741] [1.01594908]</t>
  </si>
  <si>
    <t>Layers (input, hidden, output): [2, 4, 1] sigmoid linear Hidden layer weights: [[1.9781997076495232, 0.5378431476597741, -0.43461808210233893, -1.5798537592555668], [-0.7088707145418132, 0.2963371982391357, 2.205650159069104, 0.5663290134289558]] Hidden layer biases: [[-4.510012085719674, 0.0012440328464069664, 0.8618612059781596, -1.1936658799216089]] Outlet layer weights: [[-3.6572420597240463], [-1.1582801718772142], [-2.2517239162318727], [2.882339690484067]] Outlet layer biases: [[1.3039294311464107]]</t>
  </si>
  <si>
    <t>Na+Mg*K</t>
  </si>
  <si>
    <t>5b - המשך שיקוע קרנליט</t>
  </si>
  <si>
    <t>2-4-1 sigmoid</t>
  </si>
  <si>
    <t>5c - המשך שיקוע קרנליט</t>
  </si>
  <si>
    <t>objective</t>
  </si>
  <si>
    <t>הרכבי תמיסות</t>
  </si>
  <si>
    <t>text</t>
  </si>
  <si>
    <t>stage</t>
  </si>
  <si>
    <t>אדים בכל שלב</t>
  </si>
  <si>
    <t>סה"כ אחוז איוד</t>
  </si>
  <si>
    <t>%Solvent</t>
  </si>
  <si>
    <t>תמיסה התחלתית</t>
  </si>
  <si>
    <t>הגעה לריוויון</t>
  </si>
  <si>
    <t>הגעה לקו ריוויון כפול</t>
  </si>
  <si>
    <t>הגעה לנקודה משולשת</t>
  </si>
  <si>
    <t>אשלג הופך לקרנליט</t>
  </si>
  <si>
    <t>המשך שיקוע קרנליט</t>
  </si>
  <si>
    <t>5a</t>
  </si>
  <si>
    <t>5b</t>
  </si>
  <si>
    <t>5c</t>
  </si>
  <si>
    <t>הרכב מצטבר של מוצקים</t>
  </si>
  <si>
    <t>NaCl total</t>
  </si>
  <si>
    <t>KCl total</t>
  </si>
  <si>
    <t>Carnallite total</t>
  </si>
  <si>
    <t>%H2O</t>
  </si>
  <si>
    <t>temperature</t>
  </si>
  <si>
    <t>initial_mass</t>
  </si>
  <si>
    <t>evaporated_mass</t>
  </si>
  <si>
    <t>final_solution_mass</t>
  </si>
  <si>
    <t>nacl_mass</t>
  </si>
  <si>
    <t>carnallite_mass</t>
  </si>
  <si>
    <t>Na_pct</t>
  </si>
  <si>
    <t>K_pct</t>
  </si>
  <si>
    <t>Mg_pct</t>
  </si>
  <si>
    <t>Cl_pct</t>
  </si>
  <si>
    <t>Br_pct</t>
  </si>
  <si>
    <t>Ca_pct</t>
  </si>
  <si>
    <t>H3PO4_aq</t>
  </si>
  <si>
    <t>SO4_aq</t>
  </si>
  <si>
    <t>H3PO4_org</t>
  </si>
  <si>
    <t>water_org</t>
  </si>
  <si>
    <t>solvent_aq</t>
  </si>
  <si>
    <t>SO4_org</t>
  </si>
  <si>
    <t>ww11</t>
  </si>
  <si>
    <t>ww12</t>
  </si>
  <si>
    <t>ww21</t>
  </si>
  <si>
    <t>ww22</t>
  </si>
  <si>
    <t>water_org-original</t>
  </si>
  <si>
    <t>wp12</t>
  </si>
  <si>
    <t>wp21</t>
  </si>
  <si>
    <t>wp22</t>
  </si>
  <si>
    <t>wp31</t>
  </si>
  <si>
    <t>wp32</t>
  </si>
  <si>
    <t>wp41</t>
  </si>
  <si>
    <t>wp42</t>
  </si>
  <si>
    <t>wp51</t>
  </si>
  <si>
    <t>wp52</t>
  </si>
  <si>
    <t>wp61</t>
  </si>
  <si>
    <t>wp62</t>
  </si>
  <si>
    <t>wp71</t>
  </si>
  <si>
    <t>wp13</t>
  </si>
  <si>
    <t>A</t>
  </si>
  <si>
    <t>B</t>
  </si>
  <si>
    <t>C</t>
  </si>
  <si>
    <t>y = A * exp(B*x) + C</t>
  </si>
  <si>
    <t>predict</t>
  </si>
  <si>
    <t>sq error</t>
  </si>
  <si>
    <t>sum sq errors</t>
  </si>
  <si>
    <t>y = A + B/(x + C)</t>
  </si>
  <si>
    <t>results</t>
  </si>
  <si>
    <t>y = -3x^2+2x+4</t>
  </si>
  <si>
    <t>z1</t>
  </si>
  <si>
    <t>z2</t>
  </si>
  <si>
    <t>h1</t>
  </si>
  <si>
    <t>h2</t>
  </si>
  <si>
    <t>פונקציות אקטיבציה אוניברסליות</t>
  </si>
  <si>
    <t>ReLU</t>
  </si>
  <si>
    <t>y = max(0,x)</t>
  </si>
  <si>
    <t>pReLU</t>
  </si>
  <si>
    <t>y = 0.001*x; x&lt;0</t>
  </si>
  <si>
    <t>y = x; x&gt;0</t>
  </si>
  <si>
    <t>sigmoid</t>
  </si>
  <si>
    <t>y = 1 / (1+exp(-x))</t>
  </si>
  <si>
    <t>0. מבוא</t>
  </si>
  <si>
    <t>1. יכולות אקסל -- trendline</t>
  </si>
  <si>
    <t>1. יכולות אקסל -- התאמה ידנית עם 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</si>
</sst>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E+00"/>
    <numFmt numFmtId="168" formatCode="0.0000000000000000"/>
  </numFmts>
  <fonts count="17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rgb="FF1F1F1F"/>
      <name val="Roboto"/>
    </font>
    <font>
      <sz val="11"/>
      <color indexed="8"/>
      <name val="Calibri"/>
      <family val="2"/>
    </font>
    <font>
      <sz val="11"/>
      <color rgb="FF1F1F1F"/>
      <name val="Courier New"/>
      <family val="3"/>
    </font>
    <font>
      <b/>
      <sz val="11"/>
      <color rgb="FF212121"/>
      <name val="Roboto"/>
    </font>
    <font>
      <b/>
      <sz val="11"/>
      <color rgb="FF1F1F1F"/>
      <name val="Roboto"/>
    </font>
    <font>
      <sz val="11"/>
      <color theme="1"/>
      <name val="Arial"/>
      <family val="2"/>
      <scheme val="minor"/>
    </font>
    <font>
      <sz val="11"/>
      <color rgb="FF1F1F1F"/>
      <name val="Var(--colab-code-font-family)"/>
    </font>
    <font>
      <u/>
      <sz val="11"/>
      <color theme="10"/>
      <name val="Arial"/>
      <family val="2"/>
      <charset val="177"/>
      <scheme val="minor"/>
    </font>
    <font>
      <b/>
      <sz val="11"/>
      <color rgb="FF1F1F1F"/>
      <name val="Arial"/>
      <family val="2"/>
      <scheme val="minor"/>
    </font>
    <font>
      <sz val="11"/>
      <color rgb="FF1F1F1F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4" fillId="3" borderId="1" applyNumberFormat="0" applyAlignment="0" applyProtection="0"/>
    <xf numFmtId="0" fontId="5" fillId="4" borderId="3" applyNumberForma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0" borderId="0" applyNumberFormat="0" applyBorder="0" applyProtection="0">
      <alignment horizontal="center" vertical="center"/>
    </xf>
    <xf numFmtId="0" fontId="2" fillId="2" borderId="1" applyNumberFormat="0" applyFont="0" applyBorder="0" applyAlignment="0" applyProtection="0"/>
  </cellStyleXfs>
  <cellXfs count="86">
    <xf numFmtId="0" fontId="0" fillId="0" borderId="0" xfId="0"/>
    <xf numFmtId="0" fontId="3" fillId="3" borderId="2" xfId="2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" xfId="1" applyAlignment="1">
      <alignment horizontal="center" vertical="center"/>
    </xf>
    <xf numFmtId="164" fontId="2" fillId="2" borderId="4" xfId="1" applyNumberFormat="1" applyBorder="1" applyAlignment="1">
      <alignment horizontal="center" vertical="center"/>
    </xf>
    <xf numFmtId="2" fontId="2" fillId="2" borderId="4" xfId="1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8" borderId="0" xfId="0" applyFill="1"/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9" borderId="4" xfId="0" applyFill="1" applyBorder="1"/>
    <xf numFmtId="0" fontId="0" fillId="9" borderId="4" xfId="0" applyFill="1" applyBorder="1" applyAlignment="1">
      <alignment horizontal="right" vertical="center"/>
    </xf>
    <xf numFmtId="0" fontId="2" fillId="2" borderId="4" xfId="1" applyBorder="1" applyAlignment="1">
      <alignment horizontal="center" vertical="center"/>
    </xf>
    <xf numFmtId="165" fontId="2" fillId="2" borderId="4" xfId="1" applyNumberFormat="1" applyBorder="1" applyAlignment="1">
      <alignment horizontal="center" vertical="center"/>
    </xf>
    <xf numFmtId="10" fontId="5" fillId="4" borderId="4" xfId="4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3" borderId="4" xfId="3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0" borderId="0" xfId="0" applyFill="1"/>
    <xf numFmtId="0" fontId="9" fillId="0" borderId="0" xfId="0" applyFont="1"/>
    <xf numFmtId="164" fontId="0" fillId="10" borderId="4" xfId="0" applyNumberFormat="1" applyFill="1" applyBorder="1" applyAlignment="1">
      <alignment horizontal="center" vertical="center"/>
    </xf>
    <xf numFmtId="167" fontId="5" fillId="4" borderId="6" xfId="4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11" borderId="2" xfId="2" applyFill="1" applyAlignment="1">
      <alignment horizontal="center" vertical="center"/>
    </xf>
    <xf numFmtId="0" fontId="10" fillId="10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right" vertical="center" wrapText="1"/>
    </xf>
    <xf numFmtId="2" fontId="4" fillId="3" borderId="4" xfId="3" applyNumberFormat="1" applyBorder="1" applyAlignment="1">
      <alignment horizontal="center" vertical="center"/>
    </xf>
    <xf numFmtId="2" fontId="1" fillId="11" borderId="4" xfId="5" applyNumberFormat="1" applyFill="1" applyBorder="1" applyAlignment="1">
      <alignment horizontal="center" vertical="center"/>
    </xf>
    <xf numFmtId="0" fontId="11" fillId="10" borderId="0" xfId="0" applyFont="1" applyFill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3" fillId="10" borderId="0" xfId="0" applyFont="1" applyFill="1" applyAlignment="1">
      <alignment horizontal="right" vertical="center"/>
    </xf>
    <xf numFmtId="0" fontId="11" fillId="10" borderId="0" xfId="0" applyFont="1" applyFill="1" applyAlignment="1">
      <alignment horizontal="center" vertical="center" wrapText="1"/>
    </xf>
    <xf numFmtId="166" fontId="7" fillId="10" borderId="0" xfId="0" applyNumberFormat="1" applyFont="1" applyFill="1" applyAlignment="1">
      <alignment horizontal="right" vertical="center" wrapText="1"/>
    </xf>
    <xf numFmtId="164" fontId="2" fillId="2" borderId="1" xfId="1" applyNumberFormat="1" applyAlignment="1">
      <alignment horizontal="center" vertical="center"/>
    </xf>
    <xf numFmtId="165" fontId="1" fillId="6" borderId="1" xfId="6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4" fillId="3" borderId="1" xfId="3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164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7" fillId="7" borderId="0" xfId="0" applyFont="1" applyFill="1" applyAlignment="1">
      <alignment horizontal="right" vertical="center" wrapText="1"/>
    </xf>
    <xf numFmtId="0" fontId="10" fillId="11" borderId="0" xfId="0" applyFont="1" applyFill="1" applyAlignment="1">
      <alignment horizontal="center" vertical="center" wrapText="1"/>
    </xf>
    <xf numFmtId="0" fontId="7" fillId="11" borderId="0" xfId="0" applyFont="1" applyFill="1" applyAlignment="1">
      <alignment horizontal="right" vertical="center" wrapText="1"/>
    </xf>
    <xf numFmtId="0" fontId="13" fillId="11" borderId="0" xfId="0" applyFont="1" applyFill="1" applyAlignment="1">
      <alignment horizontal="right" vertical="center"/>
    </xf>
    <xf numFmtId="0" fontId="11" fillId="11" borderId="0" xfId="0" applyFont="1" applyFill="1" applyAlignment="1">
      <alignment horizontal="center" vertical="center" wrapText="1"/>
    </xf>
    <xf numFmtId="167" fontId="5" fillId="4" borderId="3" xfId="4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4" fillId="0" borderId="0" xfId="7" applyAlignment="1">
      <alignment horizontal="left" vertical="center"/>
    </xf>
    <xf numFmtId="0" fontId="0" fillId="0" borderId="0" xfId="0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8" borderId="0" xfId="0" applyFill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right" vertical="center" wrapText="1"/>
    </xf>
    <xf numFmtId="0" fontId="12" fillId="0" borderId="0" xfId="8" applyFont="1">
      <alignment horizontal="center" vertical="center"/>
    </xf>
    <xf numFmtId="166" fontId="12" fillId="0" borderId="0" xfId="8" applyNumberFormat="1" applyFont="1">
      <alignment horizontal="center" vertical="center"/>
    </xf>
    <xf numFmtId="165" fontId="12" fillId="0" borderId="0" xfId="8" applyNumberFormat="1" applyFont="1">
      <alignment horizontal="center" vertical="center"/>
    </xf>
    <xf numFmtId="2" fontId="12" fillId="0" borderId="0" xfId="8" applyNumberFormat="1" applyFont="1">
      <alignment horizontal="center" vertical="center"/>
    </xf>
    <xf numFmtId="164" fontId="12" fillId="0" borderId="0" xfId="8" applyNumberFormat="1" applyFont="1">
      <alignment horizontal="center" vertical="center"/>
    </xf>
    <xf numFmtId="0" fontId="1" fillId="0" borderId="0" xfId="8" applyAlignment="1">
      <alignment horizontal="center"/>
    </xf>
    <xf numFmtId="0" fontId="10" fillId="7" borderId="0" xfId="8" applyFont="1" applyFill="1" applyAlignment="1">
      <alignment horizontal="right" vertical="center"/>
    </xf>
    <xf numFmtId="0" fontId="0" fillId="2" borderId="0" xfId="9" applyFont="1" applyBorder="1"/>
    <xf numFmtId="2" fontId="0" fillId="0" borderId="0" xfId="0" applyNumberFormat="1"/>
    <xf numFmtId="0" fontId="4" fillId="3" borderId="1" xfId="3"/>
    <xf numFmtId="11" fontId="5" fillId="4" borderId="3" xfId="4" applyNumberFormat="1"/>
    <xf numFmtId="0" fontId="0" fillId="8" borderId="0" xfId="0" applyFill="1" applyAlignment="1">
      <alignment readingOrder="2"/>
    </xf>
    <xf numFmtId="0" fontId="0" fillId="8" borderId="0" xfId="0" applyFill="1" applyAlignment="1">
      <alignment horizontal="left" readingOrder="2"/>
    </xf>
    <xf numFmtId="0" fontId="0" fillId="9" borderId="0" xfId="0" applyFill="1"/>
    <xf numFmtId="0" fontId="0" fillId="9" borderId="0" xfId="0" applyFill="1" applyAlignment="1">
      <alignment horizontal="left" readingOrder="2"/>
    </xf>
    <xf numFmtId="164" fontId="0" fillId="0" borderId="0" xfId="0" applyNumberFormat="1"/>
    <xf numFmtId="0" fontId="2" fillId="2" borderId="1" xfId="1"/>
    <xf numFmtId="0" fontId="3" fillId="3" borderId="2" xfId="2"/>
    <xf numFmtId="0" fontId="0" fillId="9" borderId="0" xfId="0" applyFill="1" applyAlignment="1">
      <alignment horizontal="left"/>
    </xf>
    <xf numFmtId="0" fontId="0" fillId="0" borderId="4" xfId="0" applyBorder="1" applyAlignment="1">
      <alignment horizontal="center" vertical="center" wrapText="1" readingOrder="2"/>
    </xf>
  </cellXfs>
  <cellStyles count="10">
    <cellStyle name="20% - Accent5" xfId="5" builtinId="46"/>
    <cellStyle name="20% - Accent6" xfId="6" builtinId="50"/>
    <cellStyle name="Calculation" xfId="3" builtinId="22"/>
    <cellStyle name="Check Cell" xfId="4" builtinId="23"/>
    <cellStyle name="Hyperlink" xfId="7" builtinId="8"/>
    <cellStyle name="Input" xfId="1" builtinId="20"/>
    <cellStyle name="Input 2" xfId="9" xr:uid="{489C6C56-06A1-4F49-A278-E7E49DFA8C8B}"/>
    <cellStyle name="Normal" xfId="0" builtinId="0"/>
    <cellStyle name="Normal 2" xfId="8" xr:uid="{F5493300-781B-4EBB-B476-9874AD6957E2}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178932955325383E-2"/>
          <c:y val="5.0925925925925923E-2"/>
          <c:w val="0.87659875629869521"/>
          <c:h val="0.877068640341158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'1. יכולות אקסל'!$D$14</c:f>
              <c:strCache>
                <c:ptCount val="1"/>
                <c:pt idx="0">
                  <c:v>H3PO4_org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6350" cap="flat" cmpd="sng" algn="ctr">
                <a:solidFill>
                  <a:schemeClr val="accent6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590454609730944"/>
                  <c:y val="9.341665312473839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rtl="0"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</c:trendlineLbl>
          </c:trendline>
          <c:trendline>
            <c:spPr>
              <a:ln w="6350" cap="flat" cmpd="sng" algn="ctr">
                <a:solidFill>
                  <a:schemeClr val="accent5"/>
                </a:solidFill>
                <a:prstDash val="solid"/>
                <a:miter lim="800000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9965386061302126"/>
                  <c:y val="5.499894126742599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rtl="0"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</c:trendlineLbl>
          </c:trendline>
          <c:trendline>
            <c:spPr>
              <a:ln w="6350" cap="flat" cmpd="sng" algn="ctr">
                <a:solidFill>
                  <a:schemeClr val="accent4"/>
                </a:solidFill>
                <a:prstDash val="solid"/>
                <a:miter lim="800000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0.15621109122200724"/>
                  <c:y val="-1.02361219856898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rtl="0"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</c:trendlineLbl>
          </c:trendline>
          <c:xVal>
            <c:numRef>
              <c:f>'1. יכולות אקסל'!$B$15:$B$31</c:f>
              <c:numCache>
                <c:formatCode>0.0</c:formatCode>
                <c:ptCount val="17"/>
                <c:pt idx="0" formatCode="0.000">
                  <c:v>1.1263098591549297E-2</c:v>
                </c:pt>
                <c:pt idx="1">
                  <c:v>10.324507042253522</c:v>
                </c:pt>
                <c:pt idx="2">
                  <c:v>10.379718309859156</c:v>
                </c:pt>
                <c:pt idx="3">
                  <c:v>19.820845070422536</c:v>
                </c:pt>
                <c:pt idx="4">
                  <c:v>19.710422535211269</c:v>
                </c:pt>
                <c:pt idx="5">
                  <c:v>28.709859154929578</c:v>
                </c:pt>
                <c:pt idx="6">
                  <c:v>27.88169014084507</c:v>
                </c:pt>
                <c:pt idx="7">
                  <c:v>35.611267605633806</c:v>
                </c:pt>
                <c:pt idx="8">
                  <c:v>35.887323943661976</c:v>
                </c:pt>
                <c:pt idx="9">
                  <c:v>43.064788732394362</c:v>
                </c:pt>
                <c:pt idx="10">
                  <c:v>43.064788732394362</c:v>
                </c:pt>
                <c:pt idx="11">
                  <c:v>49.966197183098593</c:v>
                </c:pt>
                <c:pt idx="12" formatCode="0.000">
                  <c:v>1.7253521126760565E-2</c:v>
                </c:pt>
                <c:pt idx="13" formatCode="0.00">
                  <c:v>4.8309859154929571</c:v>
                </c:pt>
                <c:pt idx="14" formatCode="0.00">
                  <c:v>4.9414084507042251</c:v>
                </c:pt>
                <c:pt idx="15">
                  <c:v>19.599999999999998</c:v>
                </c:pt>
                <c:pt idx="16">
                  <c:v>19.7656338028169</c:v>
                </c:pt>
              </c:numCache>
            </c:numRef>
          </c:xVal>
          <c:yVal>
            <c:numRef>
              <c:f>'1. יכולות אקסל'!$D$15:$D$31</c:f>
              <c:numCache>
                <c:formatCode>0.000</c:formatCode>
                <c:ptCount val="17"/>
                <c:pt idx="0">
                  <c:v>7.2050704225352119E-2</c:v>
                </c:pt>
                <c:pt idx="1">
                  <c:v>0.2291267605633803</c:v>
                </c:pt>
                <c:pt idx="2">
                  <c:v>0.26860281690140841</c:v>
                </c:pt>
                <c:pt idx="3">
                  <c:v>0.63492957746478884</c:v>
                </c:pt>
                <c:pt idx="4">
                  <c:v>0.77295774647887339</c:v>
                </c:pt>
                <c:pt idx="5" formatCode="0.00">
                  <c:v>1.4354929577464788</c:v>
                </c:pt>
                <c:pt idx="6" formatCode="0.00">
                  <c:v>1.3250704225352112</c:v>
                </c:pt>
                <c:pt idx="7" formatCode="0.00">
                  <c:v>2.8709859154929576</c:v>
                </c:pt>
                <c:pt idx="8" formatCode="0.00">
                  <c:v>2.9814084507042256</c:v>
                </c:pt>
                <c:pt idx="9" formatCode="0.00">
                  <c:v>5.3278873239436617</c:v>
                </c:pt>
                <c:pt idx="10" formatCode="0.00">
                  <c:v>5.6039436619718304</c:v>
                </c:pt>
                <c:pt idx="11" formatCode="0.00">
                  <c:v>8.723380281690142</c:v>
                </c:pt>
                <c:pt idx="12">
                  <c:v>4.2236619718309859E-2</c:v>
                </c:pt>
                <c:pt idx="13">
                  <c:v>0.14630985915492956</c:v>
                </c:pt>
                <c:pt idx="14">
                  <c:v>0.17253521126760563</c:v>
                </c:pt>
                <c:pt idx="15">
                  <c:v>0.82816901408450694</c:v>
                </c:pt>
                <c:pt idx="16">
                  <c:v>0.85577464788732394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C2-4ADF-ABF8-5B497389E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480800"/>
        <c:axId val="1161481280"/>
      </c:scatterChart>
      <c:valAx>
        <c:axId val="116148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H3PO4_aq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161481280"/>
        <c:crosses val="autoZero"/>
        <c:crossBetween val="midCat"/>
      </c:valAx>
      <c:valAx>
        <c:axId val="116148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H3PO4_org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16148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rtl="0"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'1. יכולות אקסל'!$I$82</c:f>
              <c:strCache>
                <c:ptCount val="1"/>
                <c:pt idx="0">
                  <c:v>predict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 יכולות אקסל'!$G$83:$G$87</c:f>
              <c:numCache>
                <c:formatCode>0.00</c:formatCode>
                <c:ptCount val="5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1.2</c:v>
                </c:pt>
                <c:pt idx="4">
                  <c:v>1.6</c:v>
                </c:pt>
              </c:numCache>
            </c:numRef>
          </c:xVal>
          <c:yVal>
            <c:numRef>
              <c:f>'1. יכולות אקסל'!$I$83:$I$87</c:f>
              <c:numCache>
                <c:formatCode>0.00</c:formatCode>
                <c:ptCount val="5"/>
                <c:pt idx="0">
                  <c:v>8.0005960284021072</c:v>
                </c:pt>
                <c:pt idx="1">
                  <c:v>5.2459581618363158</c:v>
                </c:pt>
                <c:pt idx="2">
                  <c:v>4.0091465824275581</c:v>
                </c:pt>
                <c:pt idx="3">
                  <c:v>3.4538275324986221</c:v>
                </c:pt>
                <c:pt idx="4">
                  <c:v>3.20449347681215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B8-45D4-99A9-84D93DC8407D}"/>
            </c:ext>
          </c:extLst>
        </c:ser>
        <c:ser>
          <c:idx val="0"/>
          <c:order val="1"/>
          <c:tx>
            <c:strRef>
              <c:f>'1. יכולות אקסל'!$B$82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0.22626159230096238"/>
                  <c:y val="-8.942431092012552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rtl="0"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</c:trendlineLbl>
          </c:trendline>
          <c:xVal>
            <c:numRef>
              <c:f>'1. יכולות אקסל'!$A$83:$A$93</c:f>
              <c:numCache>
                <c:formatCode>General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</c:numCache>
            </c:numRef>
          </c:xVal>
          <c:yVal>
            <c:numRef>
              <c:f>'1. יכולות אקסל'!$B$83:$B$93</c:f>
              <c:numCache>
                <c:formatCode>General</c:formatCode>
                <c:ptCount val="11"/>
                <c:pt idx="0">
                  <c:v>8</c:v>
                </c:pt>
                <c:pt idx="1">
                  <c:v>6.3516002301781969</c:v>
                </c:pt>
                <c:pt idx="2">
                  <c:v>5.2466448205861074</c:v>
                </c:pt>
                <c:pt idx="3">
                  <c:v>4.505971059561011</c:v>
                </c:pt>
                <c:pt idx="4">
                  <c:v>4.0094825899732767</c:v>
                </c:pt>
                <c:pt idx="5">
                  <c:v>3.6766764161830636</c:v>
                </c:pt>
                <c:pt idx="6">
                  <c:v>3.4535897664470627</c:v>
                </c:pt>
                <c:pt idx="7">
                  <c:v>3.3040503131260897</c:v>
                </c:pt>
                <c:pt idx="8">
                  <c:v>3.2038110198918313</c:v>
                </c:pt>
                <c:pt idx="9">
                  <c:v>3.1366186122364628</c:v>
                </c:pt>
                <c:pt idx="10">
                  <c:v>3.0915781944436711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B8-45D4-99A9-84D93DC84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344224"/>
        <c:axId val="437345184"/>
      </c:scatterChart>
      <c:valAx>
        <c:axId val="43734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37345184"/>
        <c:crosses val="autoZero"/>
        <c:crossBetween val="midCat"/>
      </c:valAx>
      <c:valAx>
        <c:axId val="43734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3734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rtl="0"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'1. יכולות אקסל'!$I$51</c:f>
              <c:strCache>
                <c:ptCount val="1"/>
                <c:pt idx="0">
                  <c:v>predict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 יכולות אקסל'!$G$52:$G$56</c:f>
              <c:numCache>
                <c:formatCode>0.0</c:formatCode>
                <c:ptCount val="5"/>
                <c:pt idx="0">
                  <c:v>1.1000000000000001</c:v>
                </c:pt>
                <c:pt idx="1">
                  <c:v>1.2</c:v>
                </c:pt>
                <c:pt idx="2">
                  <c:v>1.5</c:v>
                </c:pt>
                <c:pt idx="3">
                  <c:v>2.6</c:v>
                </c:pt>
                <c:pt idx="4">
                  <c:v>3</c:v>
                </c:pt>
              </c:numCache>
            </c:numRef>
          </c:xVal>
          <c:yVal>
            <c:numRef>
              <c:f>'1. יכולות אקסל'!$I$52:$I$56</c:f>
              <c:numCache>
                <c:formatCode>General</c:formatCode>
                <c:ptCount val="5"/>
                <c:pt idx="0">
                  <c:v>31.989360528251972</c:v>
                </c:pt>
                <c:pt idx="1">
                  <c:v>16.997035819837166</c:v>
                </c:pt>
                <c:pt idx="2">
                  <c:v>7.9983155390560672</c:v>
                </c:pt>
                <c:pt idx="3">
                  <c:v>3.8730681869606483</c:v>
                </c:pt>
                <c:pt idx="4">
                  <c:v>3.4980197036224769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1E-417F-B517-811E58F6F01B}"/>
            </c:ext>
          </c:extLst>
        </c:ser>
        <c:ser>
          <c:idx val="0"/>
          <c:order val="1"/>
          <c:tx>
            <c:v>תוצאות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יכולות אקסל'!$A$52:$A$71</c:f>
              <c:numCache>
                <c:formatCode>General</c:formatCode>
                <c:ptCount val="20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2.2000000000000002</c:v>
                </c:pt>
                <c:pt idx="12">
                  <c:v>2.2999999999999998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</c:numCache>
            </c:numRef>
          </c:xVal>
          <c:yVal>
            <c:numRef>
              <c:f>'1. יכולות אקסל'!$B$52:$B$71</c:f>
              <c:numCache>
                <c:formatCode>General</c:formatCode>
                <c:ptCount val="20"/>
                <c:pt idx="0">
                  <c:v>31.999999999999972</c:v>
                </c:pt>
                <c:pt idx="1">
                  <c:v>17.000000000000004</c:v>
                </c:pt>
                <c:pt idx="2">
                  <c:v>11.999999999999998</c:v>
                </c:pt>
                <c:pt idx="3">
                  <c:v>9.5000000000000018</c:v>
                </c:pt>
                <c:pt idx="4">
                  <c:v>8</c:v>
                </c:pt>
                <c:pt idx="5">
                  <c:v>6.9999999999999991</c:v>
                </c:pt>
                <c:pt idx="6">
                  <c:v>6.2857142857142856</c:v>
                </c:pt>
                <c:pt idx="7">
                  <c:v>5.75</c:v>
                </c:pt>
                <c:pt idx="8">
                  <c:v>5.3333333333333339</c:v>
                </c:pt>
                <c:pt idx="9">
                  <c:v>5</c:v>
                </c:pt>
                <c:pt idx="10">
                  <c:v>4.7272727272727266</c:v>
                </c:pt>
                <c:pt idx="11">
                  <c:v>4.5</c:v>
                </c:pt>
                <c:pt idx="12">
                  <c:v>4.3076923076923084</c:v>
                </c:pt>
                <c:pt idx="13">
                  <c:v>4.1428571428571423</c:v>
                </c:pt>
                <c:pt idx="14">
                  <c:v>4</c:v>
                </c:pt>
                <c:pt idx="15">
                  <c:v>3.875</c:v>
                </c:pt>
                <c:pt idx="16">
                  <c:v>3.7647058823529411</c:v>
                </c:pt>
                <c:pt idx="17">
                  <c:v>3.666666666666667</c:v>
                </c:pt>
                <c:pt idx="18">
                  <c:v>3.5789473684210527</c:v>
                </c:pt>
                <c:pt idx="19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1E-417F-B517-811E58F6F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147264"/>
        <c:axId val="1160155424"/>
      </c:scatterChart>
      <c:valAx>
        <c:axId val="116014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160155424"/>
        <c:crosses val="autoZero"/>
        <c:crossBetween val="midCat"/>
      </c:valAx>
      <c:valAx>
        <c:axId val="11601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16014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715223097112861E-2"/>
          <c:y val="4.2513723639434654E-2"/>
          <c:w val="0.9223958880139983"/>
          <c:h val="0.898726305045202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'2. רשת נוירונים'!$A$32</c:f>
              <c:strCache>
                <c:ptCount val="1"/>
                <c:pt idx="0">
                  <c:v>ReLU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רשת נוירונים'!$B$31:$R$31</c:f>
              <c:numCache>
                <c:formatCode>General</c:formatCode>
                <c:ptCount val="17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</c:numCache>
            </c:numRef>
          </c:xVal>
          <c:yVal>
            <c:numRef>
              <c:f>'2. רשת נוירונים'!$B$32:$R$32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F-4CEC-AE87-F4BC7558A471}"/>
            </c:ext>
          </c:extLst>
        </c:ser>
        <c:ser>
          <c:idx val="1"/>
          <c:order val="1"/>
          <c:tx>
            <c:strRef>
              <c:f>'2. רשת נוירונים'!$A$33</c:f>
              <c:strCache>
                <c:ptCount val="1"/>
                <c:pt idx="0">
                  <c:v>pReLU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 רשת נוירונים'!$B$31:$R$31</c:f>
              <c:numCache>
                <c:formatCode>General</c:formatCode>
                <c:ptCount val="17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</c:numCache>
            </c:numRef>
          </c:xVal>
          <c:yVal>
            <c:numRef>
              <c:f>'2. רשת נוירונים'!$B$33:$R$33</c:f>
              <c:numCache>
                <c:formatCode>General</c:formatCode>
                <c:ptCount val="17"/>
                <c:pt idx="0">
                  <c:v>-4.0000000000000001E-3</c:v>
                </c:pt>
                <c:pt idx="1">
                  <c:v>-3.5000000000000001E-3</c:v>
                </c:pt>
                <c:pt idx="2">
                  <c:v>-3.0000000000000001E-3</c:v>
                </c:pt>
                <c:pt idx="3">
                  <c:v>-2.5000000000000001E-3</c:v>
                </c:pt>
                <c:pt idx="4">
                  <c:v>-2E-3</c:v>
                </c:pt>
                <c:pt idx="5">
                  <c:v>-1.5E-3</c:v>
                </c:pt>
                <c:pt idx="6">
                  <c:v>-1E-3</c:v>
                </c:pt>
                <c:pt idx="7">
                  <c:v>-5.0000000000000001E-4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BF-4CEC-AE87-F4BC7558A471}"/>
            </c:ext>
          </c:extLst>
        </c:ser>
        <c:ser>
          <c:idx val="2"/>
          <c:order val="2"/>
          <c:tx>
            <c:strRef>
              <c:f>'2. רשת נוירונים'!$A$34</c:f>
              <c:strCache>
                <c:ptCount val="1"/>
                <c:pt idx="0">
                  <c:v>sigmoid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'2. רשת נוירונים'!$B$31:$R$31</c:f>
              <c:numCache>
                <c:formatCode>General</c:formatCode>
                <c:ptCount val="17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</c:numCache>
            </c:numRef>
          </c:xVal>
          <c:yVal>
            <c:numRef>
              <c:f>'2. רשת נוירונים'!$B$34:$R$34</c:f>
              <c:numCache>
                <c:formatCode>General</c:formatCode>
                <c:ptCount val="17"/>
                <c:pt idx="0">
                  <c:v>1.7986209962091559E-2</c:v>
                </c:pt>
                <c:pt idx="1">
                  <c:v>2.9312230751356319E-2</c:v>
                </c:pt>
                <c:pt idx="2">
                  <c:v>4.7425873177566781E-2</c:v>
                </c:pt>
                <c:pt idx="3">
                  <c:v>7.5858180021243546E-2</c:v>
                </c:pt>
                <c:pt idx="4">
                  <c:v>0.11920292202211755</c:v>
                </c:pt>
                <c:pt idx="5">
                  <c:v>0.18242552380635635</c:v>
                </c:pt>
                <c:pt idx="6">
                  <c:v>0.2689414213699951</c:v>
                </c:pt>
                <c:pt idx="7">
                  <c:v>0.37754066879814541</c:v>
                </c:pt>
                <c:pt idx="8">
                  <c:v>0.5</c:v>
                </c:pt>
                <c:pt idx="9">
                  <c:v>0.62245933120185459</c:v>
                </c:pt>
                <c:pt idx="10">
                  <c:v>0.7310585786300049</c:v>
                </c:pt>
                <c:pt idx="11">
                  <c:v>0.81757447619364365</c:v>
                </c:pt>
                <c:pt idx="12">
                  <c:v>0.88079707797788231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BF-4CEC-AE87-F4BC7558A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242096"/>
        <c:axId val="652239696"/>
      </c:scatterChart>
      <c:valAx>
        <c:axId val="65224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52239696"/>
        <c:crosses val="autoZero"/>
        <c:crossBetween val="midCat"/>
      </c:valAx>
      <c:valAx>
        <c:axId val="652239696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5224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7004811898512692E-2"/>
          <c:y val="9.6646546941884612E-2"/>
          <c:w val="0.26321237970253719"/>
          <c:h val="0.21831408297937521"/>
        </c:manualLayout>
      </c:layout>
      <c:overlay val="0"/>
      <c:spPr>
        <a:gradFill rotWithShape="1">
          <a:gsLst>
            <a:gs pos="0">
              <a:schemeClr val="accent3">
                <a:lumMod val="110000"/>
                <a:satMod val="105000"/>
                <a:tint val="67000"/>
              </a:schemeClr>
            </a:gs>
            <a:gs pos="50000">
              <a:schemeClr val="accent3">
                <a:lumMod val="105000"/>
                <a:satMod val="103000"/>
                <a:tint val="73000"/>
              </a:schemeClr>
            </a:gs>
            <a:gs pos="100000">
              <a:schemeClr val="accent3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3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3.238469587826507E-2"/>
          <c:w val="0.8855855205599299"/>
          <c:h val="0.89931813640331904"/>
        </c:manualLayout>
      </c:layout>
      <c:scatterChart>
        <c:scatterStyle val="lineMarker"/>
        <c:varyColors val="0"/>
        <c:ser>
          <c:idx val="0"/>
          <c:order val="0"/>
          <c:tx>
            <c:v>60C</c:v>
          </c:tx>
          <c:spPr>
            <a:ln w="19050" cap="rnd">
              <a:solidFill>
                <a:schemeClr val="accent2">
                  <a:tint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65000"/>
                </a:schemeClr>
              </a:solidFill>
              <a:ln w="9525">
                <a:solidFill>
                  <a:schemeClr val="accent2">
                    <a:tint val="65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0</c:v>
              </c:pt>
              <c:pt idx="1">
                <c:v>6.5306122448979584</c:v>
              </c:pt>
              <c:pt idx="2">
                <c:v>12.13364595545135</c:v>
              </c:pt>
              <c:pt idx="3">
                <c:v>18.487891317188421</c:v>
              </c:pt>
              <c:pt idx="4">
                <c:v>24.566128067025726</c:v>
              </c:pt>
              <c:pt idx="5">
                <c:v>82.008862629246678</c:v>
              </c:pt>
              <c:pt idx="7">
                <c:v>85.912698412698404</c:v>
              </c:pt>
              <c:pt idx="8">
                <c:v>81.871345029239777</c:v>
              </c:pt>
              <c:pt idx="9">
                <c:v>97.106109324758847</c:v>
              </c:pt>
              <c:pt idx="10">
                <c:v>98.69494290375205</c:v>
              </c:pt>
            </c:numLit>
          </c:xVal>
          <c:yVal>
            <c:numLit>
              <c:formatCode>General</c:formatCode>
              <c:ptCount val="11"/>
              <c:pt idx="0">
                <c:v>52.725153016613234</c:v>
              </c:pt>
              <c:pt idx="1">
                <c:v>48.483965014577265</c:v>
              </c:pt>
              <c:pt idx="2">
                <c:v>44.75381008206331</c:v>
              </c:pt>
              <c:pt idx="3">
                <c:v>40.608387477849966</c:v>
              </c:pt>
              <c:pt idx="4">
                <c:v>36.295631358467979</c:v>
              </c:pt>
              <c:pt idx="5">
                <c:v>4.401772525849335</c:v>
              </c:pt>
              <c:pt idx="7">
                <c:v>0</c:v>
              </c:pt>
              <c:pt idx="8">
                <c:v>4.4834307992202724</c:v>
              </c:pt>
              <c:pt idx="9">
                <c:v>1.1254019292604502</c:v>
              </c:pt>
              <c:pt idx="10">
                <c:v>1.3050570962479608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42B-4A11-93BA-915B8D3C9512}"/>
            </c:ext>
          </c:extLst>
        </c:ser>
        <c:ser>
          <c:idx val="1"/>
          <c:order val="1"/>
          <c:tx>
            <c:v>80C</c:v>
          </c:tx>
          <c:spPr>
            <a:ln w="19050" cap="rnd">
              <a:solidFill>
                <a:schemeClr val="accent2">
                  <a:tint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2"/>
              <c:pt idx="0">
                <c:v>0</c:v>
              </c:pt>
              <c:pt idx="1">
                <c:v>6.7862068965517244</c:v>
              </c:pt>
              <c:pt idx="2">
                <c:v>10.673372450405143</c:v>
              </c:pt>
              <c:pt idx="3">
                <c:v>14.378531073446327</c:v>
              </c:pt>
              <c:pt idx="4">
                <c:v>18.259385665529013</c:v>
              </c:pt>
              <c:pt idx="5">
                <c:v>21.916643039410264</c:v>
              </c:pt>
              <c:pt idx="6">
                <c:v>80.75524475524476</c:v>
              </c:pt>
              <c:pt idx="8">
                <c:v>83.823529411764696</c:v>
              </c:pt>
              <c:pt idx="9">
                <c:v>80.755395683453244</c:v>
              </c:pt>
              <c:pt idx="10">
                <c:v>97.325408618127796</c:v>
              </c:pt>
              <c:pt idx="11">
                <c:v>99.243570347957643</c:v>
              </c:pt>
            </c:numLit>
          </c:xVal>
          <c:yVal>
            <c:numLit>
              <c:formatCode>General</c:formatCode>
              <c:ptCount val="12"/>
              <c:pt idx="0">
                <c:v>47.812929848693265</c:v>
              </c:pt>
              <c:pt idx="1">
                <c:v>43.531034482758621</c:v>
              </c:pt>
              <c:pt idx="2">
                <c:v>40.402347024308469</c:v>
              </c:pt>
              <c:pt idx="3">
                <c:v>38.333333333333329</c:v>
              </c:pt>
              <c:pt idx="4">
                <c:v>36.604095563139936</c:v>
              </c:pt>
              <c:pt idx="5">
                <c:v>33.909838389566204</c:v>
              </c:pt>
              <c:pt idx="6">
                <c:v>4.1398601398601391</c:v>
              </c:pt>
              <c:pt idx="8">
                <c:v>0</c:v>
              </c:pt>
              <c:pt idx="9">
                <c:v>4.1366906474820144</c:v>
              </c:pt>
              <c:pt idx="10">
                <c:v>0.59435364041604766</c:v>
              </c:pt>
              <c:pt idx="11">
                <c:v>0.75642965204236012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42B-4A11-93BA-915B8D3C9512}"/>
            </c:ext>
          </c:extLst>
        </c:ser>
        <c:ser>
          <c:idx val="3"/>
          <c:order val="3"/>
          <c:tx>
            <c:v>תכנון 80 מצ</c:v>
          </c:tx>
          <c:spPr>
            <a:ln w="19050" cap="rnd">
              <a:solidFill>
                <a:schemeClr val="accent2">
                  <a:shade val="9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xVal>
            <c:numRef>
              <c:f>'8. ייצוא לאקסל'!$P$39:$P$46</c:f>
              <c:numCache>
                <c:formatCode>0.0</c:formatCode>
                <c:ptCount val="8"/>
                <c:pt idx="0">
                  <c:v>72.998707233522467</c:v>
                </c:pt>
                <c:pt idx="1">
                  <c:v>72.998707233522467</c:v>
                </c:pt>
                <c:pt idx="2">
                  <c:v>76.624616801999196</c:v>
                </c:pt>
                <c:pt idx="3">
                  <c:v>76.626046210657634</c:v>
                </c:pt>
                <c:pt idx="4">
                  <c:v>76.626346333233627</c:v>
                </c:pt>
                <c:pt idx="5">
                  <c:v>80.303127920227425</c:v>
                </c:pt>
                <c:pt idx="6">
                  <c:v>84.87813761311341</c:v>
                </c:pt>
                <c:pt idx="7">
                  <c:v>90.657842888402229</c:v>
                </c:pt>
              </c:numCache>
            </c:numRef>
          </c:xVal>
          <c:yVal>
            <c:numRef>
              <c:f>'8. ייצוא לאקסל'!$Q$39:$Q$46</c:f>
              <c:numCache>
                <c:formatCode>0.00</c:formatCode>
                <c:ptCount val="8"/>
                <c:pt idx="0">
                  <c:v>9.4686173883675249</c:v>
                </c:pt>
                <c:pt idx="1">
                  <c:v>9.4686173883675249</c:v>
                </c:pt>
                <c:pt idx="2">
                  <c:v>4.971844515269261</c:v>
                </c:pt>
                <c:pt idx="3">
                  <c:v>4.970640476456234</c:v>
                </c:pt>
                <c:pt idx="4">
                  <c:v>4.9706089807245846</c:v>
                </c:pt>
                <c:pt idx="5">
                  <c:v>4.1663271143225735</c:v>
                </c:pt>
                <c:pt idx="6" formatCode="0.0">
                  <c:v>3.214259051876049</c:v>
                </c:pt>
                <c:pt idx="7">
                  <c:v>2.3878514476566957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2B-4A11-93BA-915B8D3C9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537839"/>
        <c:axId val="352792399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data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FF00"/>
                    </a:solidFill>
                    <a:ln w="9525">
                      <a:solidFill>
                        <a:srgbClr val="FFFF00"/>
                      </a:solidFill>
                    </a:ln>
                    <a:effectLst/>
                  </c:spPr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BE76EB60-683A-443C-9A57-A810EECB13A4}" type="CELLRANGE">
                            <a:rPr lang="he-IL"/>
                            <a:pPr/>
                            <a:t>[CELLRANGE]</a:t>
                          </a:fld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3-D42B-4A11-93BA-915B8D3C9512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4D5365B0-6E7C-46F8-881A-EAB02FE2E253}" type="CELLRANGE">
                            <a:rPr lang="he-IL"/>
                            <a:pPr/>
                            <a:t>[CELLRANGE]</a:t>
                          </a:fld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4-D42B-4A11-93BA-915B8D3C9512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B740D600-0E72-4FEE-8295-00F21E274169}" type="CELLRANGE">
                            <a:rPr lang="he-IL"/>
                            <a:pPr/>
                            <a:t>[CELLRANGE]</a:t>
                          </a:fld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5-D42B-4A11-93BA-915B8D3C9512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fld id="{64F9C324-20C4-4F08-8661-248B9A932C1F}" type="CELLRANGE">
                            <a:rPr lang="he-IL"/>
                            <a:pPr/>
                            <a:t>[CELLRANGE]</a:t>
                          </a:fld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6-D42B-4A11-93BA-915B8D3C9512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fld id="{462D3B2D-2AE7-4F24-8A3D-5FEF3B6DD4BA}" type="CELLRANGE">
                            <a:rPr lang="he-IL"/>
                            <a:pPr/>
                            <a:t>[CELLRANGE]</a:t>
                          </a:fld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7-D42B-4A11-93BA-915B8D3C9512}"/>
                      </c:ext>
                    </c:extLst>
                  </c:dLbl>
                  <c:dLbl>
                    <c:idx val="5"/>
                    <c:tx>
                      <c:rich>
                        <a:bodyPr/>
                        <a:lstStyle/>
                        <a:p>
                          <a:fld id="{EA0EE2B4-7425-444E-A61A-4386C9C44A95}" type="CELLRANGE">
                            <a:rPr lang="he-IL"/>
                            <a:pPr/>
                            <a:t>[CELLRANGE]</a:t>
                          </a:fld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8-D42B-4A11-93BA-915B8D3C9512}"/>
                      </c:ext>
                    </c:extLst>
                  </c:dLbl>
                  <c:dLbl>
                    <c:idx val="6"/>
                    <c:tx>
                      <c:rich>
                        <a:bodyPr/>
                        <a:lstStyle/>
                        <a:p>
                          <a:fld id="{41D7C277-6EC6-468D-93A9-E2DF003A9058}" type="CELLRANGE">
                            <a:rPr lang="he-IL"/>
                            <a:pPr/>
                            <a:t>[CELLRANGE]</a:t>
                          </a:fld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9-D42B-4A11-93BA-915B8D3C9512}"/>
                      </c:ext>
                    </c:extLst>
                  </c:dLbl>
                  <c:dLbl>
                    <c:idx val="7"/>
                    <c:tx>
                      <c:rich>
                        <a:bodyPr/>
                        <a:lstStyle/>
                        <a:p>
                          <a:fld id="{FFC4DA47-9C4F-4EB5-AA67-D07353ED8292}" type="CELLRANGE">
                            <a:rPr lang="he-IL"/>
                            <a:pPr/>
                            <a:t>[CELLRANGE]</a:t>
                          </a:fld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A-D42B-4A11-93BA-915B8D3C9512}"/>
                      </c:ext>
                    </c:extLst>
                  </c:dLbl>
                  <c:dLbl>
                    <c:idx val="8"/>
                    <c:tx>
                      <c:rich>
                        <a:bodyPr/>
                        <a:lstStyle/>
                        <a:p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B-D42B-4A11-93BA-915B8D3C951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he-IL"/>
                    </a:p>
                  </c:txPr>
                  <c:dLblPos val="t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DataLabelsRange val="1"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9"/>
                    <c:pt idx="0">
                      <c:v>66.684463427656169</c:v>
                    </c:pt>
                    <c:pt idx="1">
                      <c:v>86.17669459253618</c:v>
                    </c:pt>
                    <c:pt idx="2">
                      <c:v>96.259703599153141</c:v>
                    </c:pt>
                    <c:pt idx="3">
                      <c:v>98.000624804748526</c:v>
                    </c:pt>
                    <c:pt idx="4">
                      <c:v>80.205230056272754</c:v>
                    </c:pt>
                    <c:pt idx="5">
                      <c:v>77.085393999340596</c:v>
                    </c:pt>
                    <c:pt idx="6">
                      <c:v>98.049535603715171</c:v>
                    </c:pt>
                    <c:pt idx="7">
                      <c:v>56.091818716892284</c:v>
                    </c:pt>
                  </c:numLit>
                </c:xVal>
                <c:yVal>
                  <c:numLit>
                    <c:formatCode>General</c:formatCode>
                    <c:ptCount val="9"/>
                    <c:pt idx="0">
                      <c:v>27.923117992525366</c:v>
                    </c:pt>
                    <c:pt idx="1">
                      <c:v>5.8644325971058651</c:v>
                    </c:pt>
                    <c:pt idx="2">
                      <c:v>2.1524347212420607</c:v>
                    </c:pt>
                    <c:pt idx="3">
                      <c:v>1.3433302093095909</c:v>
                    </c:pt>
                    <c:pt idx="4">
                      <c:v>8.1429990069513405</c:v>
                    </c:pt>
                    <c:pt idx="5">
                      <c:v>8.4734586218265733</c:v>
                    </c:pt>
                    <c:pt idx="6">
                      <c:v>1.2074303405572755</c:v>
                    </c:pt>
                    <c:pt idx="7">
                      <c:v>0</c:v>
                    </c:pt>
                  </c:numLit>
                </c:yVal>
                <c:smooth val="0"/>
                <c:extLst>
                  <c:ext uri="{02D57815-91ED-43cb-92C2-25804820EDAC}">
                    <c15:datalabelsRange>
                      <c15:f>{"Dead Sea Water","DSW carnallite","DSW EB brine","EF","F1","F2","EBF","Carnallite",""}</c15:f>
                      <c15:dlblRangeCache>
                        <c:ptCount val="9"/>
                        <c:pt idx="0">
                          <c:v>Dead Sea Water</c:v>
                        </c:pt>
                        <c:pt idx="1">
                          <c:v>DSW carnallite</c:v>
                        </c:pt>
                        <c:pt idx="2">
                          <c:v>DSW EB brine</c:v>
                        </c:pt>
                        <c:pt idx="3">
                          <c:v>EF</c:v>
                        </c:pt>
                        <c:pt idx="4">
                          <c:v>F1</c:v>
                        </c:pt>
                        <c:pt idx="5">
                          <c:v>F2</c:v>
                        </c:pt>
                        <c:pt idx="6">
                          <c:v>EBF</c:v>
                        </c:pt>
                        <c:pt idx="7">
                          <c:v>Carnallite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0C-D42B-4A11-93BA-915B8D3C9512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v>טמפ רוויון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shade val="50000"/>
                      </a:schemeClr>
                    </a:solidFill>
                    <a:ln w="9525">
                      <a:solidFill>
                        <a:schemeClr val="accent2">
                          <a:shade val="5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0.0</c:formatCode>
                    <c:ptCount val="2"/>
                    <c:pt idx="0">
                      <c:v>79.342535010604138</c:v>
                    </c:pt>
                    <c:pt idx="1">
                      <c:v>75.627035202738057</c:v>
                    </c:pt>
                  </c:numLit>
                </c:xVal>
                <c:yVal>
                  <c:numLit>
                    <c:formatCode>0.0</c:formatCode>
                    <c:ptCount val="2"/>
                    <c:pt idx="0">
                      <c:v>7.3026008805196811</c:v>
                    </c:pt>
                    <c:pt idx="1">
                      <c:v>9.8747355258602099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42B-4A11-93BA-915B8D3C9512}"/>
                  </c:ext>
                </c:extLst>
              </c15:ser>
            </c15:filteredScatterSeries>
          </c:ext>
        </c:extLst>
      </c:scatterChart>
      <c:valAx>
        <c:axId val="584537839"/>
        <c:scaling>
          <c:orientation val="minMax"/>
          <c:max val="100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52792399"/>
        <c:crosses val="autoZero"/>
        <c:crossBetween val="midCat"/>
        <c:majorUnit val="5"/>
      </c:valAx>
      <c:valAx>
        <c:axId val="352792399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845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68148073255741"/>
          <c:y val="0.19883476127879143"/>
          <c:w val="0.20127647845268323"/>
          <c:h val="0.1488316471941199"/>
        </c:manualLayout>
      </c:layout>
      <c:overlay val="0"/>
      <c:spPr>
        <a:gradFill rotWithShape="1">
          <a:gsLst>
            <a:gs pos="0">
              <a:schemeClr val="accent3">
                <a:lumMod val="110000"/>
                <a:satMod val="105000"/>
                <a:tint val="67000"/>
              </a:schemeClr>
            </a:gs>
            <a:gs pos="50000">
              <a:schemeClr val="accent3">
                <a:lumMod val="105000"/>
                <a:satMod val="103000"/>
                <a:tint val="73000"/>
              </a:schemeClr>
            </a:gs>
            <a:gs pos="100000">
              <a:schemeClr val="accent3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3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3.238469587826507E-2"/>
          <c:w val="0.8855855205599299"/>
          <c:h val="0.89931813640331904"/>
        </c:manualLayout>
      </c:layout>
      <c:scatterChart>
        <c:scatterStyle val="lineMarker"/>
        <c:varyColors val="0"/>
        <c:ser>
          <c:idx val="0"/>
          <c:order val="0"/>
          <c:tx>
            <c:v>60C</c:v>
          </c:tx>
          <c:spPr>
            <a:ln w="19050" cap="rnd">
              <a:solidFill>
                <a:schemeClr val="accent2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65000"/>
                </a:schemeClr>
              </a:solidFill>
              <a:ln w="9525">
                <a:solidFill>
                  <a:schemeClr val="accent2">
                    <a:tint val="65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0</c:v>
              </c:pt>
              <c:pt idx="1">
                <c:v>6.5306122448979584</c:v>
              </c:pt>
              <c:pt idx="2">
                <c:v>12.13364595545135</c:v>
              </c:pt>
              <c:pt idx="3">
                <c:v>18.487891317188421</c:v>
              </c:pt>
              <c:pt idx="4">
                <c:v>24.566128067025726</c:v>
              </c:pt>
              <c:pt idx="5">
                <c:v>82.008862629246678</c:v>
              </c:pt>
              <c:pt idx="7">
                <c:v>85.912698412698404</c:v>
              </c:pt>
              <c:pt idx="8">
                <c:v>81.871345029239777</c:v>
              </c:pt>
              <c:pt idx="9">
                <c:v>97.106109324758847</c:v>
              </c:pt>
              <c:pt idx="10">
                <c:v>98.69494290375205</c:v>
              </c:pt>
            </c:numLit>
          </c:xVal>
          <c:yVal>
            <c:numLit>
              <c:formatCode>General</c:formatCode>
              <c:ptCount val="11"/>
              <c:pt idx="0">
                <c:v>52.725153016613234</c:v>
              </c:pt>
              <c:pt idx="1">
                <c:v>48.483965014577265</c:v>
              </c:pt>
              <c:pt idx="2">
                <c:v>44.75381008206331</c:v>
              </c:pt>
              <c:pt idx="3">
                <c:v>40.608387477849966</c:v>
              </c:pt>
              <c:pt idx="4">
                <c:v>36.295631358467979</c:v>
              </c:pt>
              <c:pt idx="5">
                <c:v>4.401772525849335</c:v>
              </c:pt>
              <c:pt idx="7">
                <c:v>0</c:v>
              </c:pt>
              <c:pt idx="8">
                <c:v>4.4834307992202724</c:v>
              </c:pt>
              <c:pt idx="9">
                <c:v>1.1254019292604502</c:v>
              </c:pt>
              <c:pt idx="10">
                <c:v>1.3050570962479608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2CD-4EEA-9AA9-4F8E9BA9DA7A}"/>
            </c:ext>
          </c:extLst>
        </c:ser>
        <c:ser>
          <c:idx val="1"/>
          <c:order val="1"/>
          <c:tx>
            <c:v>80C</c:v>
          </c:tx>
          <c:spPr>
            <a:ln w="19050" cap="rnd">
              <a:solidFill>
                <a:schemeClr val="accent2">
                  <a:tint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2"/>
              <c:pt idx="0">
                <c:v>0</c:v>
              </c:pt>
              <c:pt idx="1">
                <c:v>6.7862068965517244</c:v>
              </c:pt>
              <c:pt idx="2">
                <c:v>10.673372450405143</c:v>
              </c:pt>
              <c:pt idx="3">
                <c:v>14.378531073446327</c:v>
              </c:pt>
              <c:pt idx="4">
                <c:v>18.259385665529013</c:v>
              </c:pt>
              <c:pt idx="5">
                <c:v>21.916643039410264</c:v>
              </c:pt>
              <c:pt idx="6">
                <c:v>80.75524475524476</c:v>
              </c:pt>
              <c:pt idx="8">
                <c:v>83.823529411764696</c:v>
              </c:pt>
              <c:pt idx="9">
                <c:v>80.755395683453244</c:v>
              </c:pt>
              <c:pt idx="10">
                <c:v>97.325408618127796</c:v>
              </c:pt>
              <c:pt idx="11">
                <c:v>99.243570347957643</c:v>
              </c:pt>
            </c:numLit>
          </c:xVal>
          <c:yVal>
            <c:numLit>
              <c:formatCode>General</c:formatCode>
              <c:ptCount val="12"/>
              <c:pt idx="0">
                <c:v>47.812929848693265</c:v>
              </c:pt>
              <c:pt idx="1">
                <c:v>43.531034482758621</c:v>
              </c:pt>
              <c:pt idx="2">
                <c:v>40.402347024308469</c:v>
              </c:pt>
              <c:pt idx="3">
                <c:v>38.333333333333329</c:v>
              </c:pt>
              <c:pt idx="4">
                <c:v>36.604095563139936</c:v>
              </c:pt>
              <c:pt idx="5">
                <c:v>33.909838389566204</c:v>
              </c:pt>
              <c:pt idx="6">
                <c:v>4.1398601398601391</c:v>
              </c:pt>
              <c:pt idx="8">
                <c:v>0</c:v>
              </c:pt>
              <c:pt idx="9">
                <c:v>4.1366906474820144</c:v>
              </c:pt>
              <c:pt idx="10">
                <c:v>0.59435364041604766</c:v>
              </c:pt>
              <c:pt idx="11">
                <c:v>0.75642965204236012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2CD-4EEA-9AA9-4F8E9BA9DA7A}"/>
            </c:ext>
          </c:extLst>
        </c:ser>
        <c:ser>
          <c:idx val="3"/>
          <c:order val="3"/>
          <c:tx>
            <c:v>תכנון 80 מצ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xVal>
            <c:numRef>
              <c:f>'8. ייצוא לאקסל'!$P$39:$P$46</c:f>
              <c:numCache>
                <c:formatCode>0.0</c:formatCode>
                <c:ptCount val="8"/>
                <c:pt idx="0">
                  <c:v>72.998707233522467</c:v>
                </c:pt>
                <c:pt idx="1">
                  <c:v>72.998707233522467</c:v>
                </c:pt>
                <c:pt idx="2">
                  <c:v>76.624616801999196</c:v>
                </c:pt>
                <c:pt idx="3">
                  <c:v>76.626046210657634</c:v>
                </c:pt>
                <c:pt idx="4">
                  <c:v>76.626346333233627</c:v>
                </c:pt>
                <c:pt idx="5">
                  <c:v>80.303127920227425</c:v>
                </c:pt>
                <c:pt idx="6">
                  <c:v>84.87813761311341</c:v>
                </c:pt>
                <c:pt idx="7">
                  <c:v>90.657842888402229</c:v>
                </c:pt>
              </c:numCache>
            </c:numRef>
          </c:xVal>
          <c:yVal>
            <c:numRef>
              <c:f>'8. ייצוא לאקסל'!$Q$39:$Q$46</c:f>
              <c:numCache>
                <c:formatCode>0.00</c:formatCode>
                <c:ptCount val="8"/>
                <c:pt idx="0">
                  <c:v>9.4686173883675249</c:v>
                </c:pt>
                <c:pt idx="1">
                  <c:v>9.4686173883675249</c:v>
                </c:pt>
                <c:pt idx="2">
                  <c:v>4.971844515269261</c:v>
                </c:pt>
                <c:pt idx="3">
                  <c:v>4.970640476456234</c:v>
                </c:pt>
                <c:pt idx="4">
                  <c:v>4.9706089807245846</c:v>
                </c:pt>
                <c:pt idx="5">
                  <c:v>4.1663271143225735</c:v>
                </c:pt>
                <c:pt idx="6" formatCode="0.0">
                  <c:v>3.214259051876049</c:v>
                </c:pt>
                <c:pt idx="7">
                  <c:v>2.3878514476566957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CD-4EEA-9AA9-4F8E9BA9D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537839"/>
        <c:axId val="352792399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data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FF00"/>
                    </a:solidFill>
                    <a:ln w="9525">
                      <a:solidFill>
                        <a:srgbClr val="FFFF00"/>
                      </a:solidFill>
                    </a:ln>
                    <a:effectLst/>
                  </c:spPr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8B81B75F-3C77-46A0-AEB8-1B8482049B72}" type="CELLRANGE">
                            <a:rPr lang="he-IL"/>
                            <a:pPr/>
                            <a:t>[CELLRANGE]</a:t>
                          </a:fld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3-32CD-4EEA-9AA9-4F8E9BA9DA7A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477C7EE3-121B-4545-BAF6-19F5713FA946}" type="CELLRANGE">
                            <a:rPr lang="he-IL"/>
                            <a:pPr/>
                            <a:t>[CELLRANGE]</a:t>
                          </a:fld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4-32CD-4EEA-9AA9-4F8E9BA9DA7A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DE95D2B8-A694-48C8-B3DC-A21124B7CB17}" type="CELLRANGE">
                            <a:rPr lang="he-IL"/>
                            <a:pPr/>
                            <a:t>[CELLRANGE]</a:t>
                          </a:fld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5-32CD-4EEA-9AA9-4F8E9BA9DA7A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fld id="{19A4E393-CC0F-4343-9EA0-27B059350C25}" type="CELLRANGE">
                            <a:rPr lang="he-IL"/>
                            <a:pPr/>
                            <a:t>[CELLRANGE]</a:t>
                          </a:fld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6-32CD-4EEA-9AA9-4F8E9BA9DA7A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fld id="{85605B51-AA77-4DA0-84F3-476159C530D8}" type="CELLRANGE">
                            <a:rPr lang="he-IL"/>
                            <a:pPr/>
                            <a:t>[CELLRANGE]</a:t>
                          </a:fld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7-32CD-4EEA-9AA9-4F8E9BA9DA7A}"/>
                      </c:ext>
                    </c:extLst>
                  </c:dLbl>
                  <c:dLbl>
                    <c:idx val="5"/>
                    <c:tx>
                      <c:rich>
                        <a:bodyPr/>
                        <a:lstStyle/>
                        <a:p>
                          <a:fld id="{CFA7EF71-7807-4CB1-AF40-C856C6E81E7E}" type="CELLRANGE">
                            <a:rPr lang="he-IL"/>
                            <a:pPr/>
                            <a:t>[CELLRANGE]</a:t>
                          </a:fld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8-32CD-4EEA-9AA9-4F8E9BA9DA7A}"/>
                      </c:ext>
                    </c:extLst>
                  </c:dLbl>
                  <c:dLbl>
                    <c:idx val="6"/>
                    <c:tx>
                      <c:rich>
                        <a:bodyPr/>
                        <a:lstStyle/>
                        <a:p>
                          <a:fld id="{7E6F3C83-6FCA-4A32-B9E1-2A1C56E7A20A}" type="CELLRANGE">
                            <a:rPr lang="he-IL"/>
                            <a:pPr/>
                            <a:t>[CELLRANGE]</a:t>
                          </a:fld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9-32CD-4EEA-9AA9-4F8E9BA9DA7A}"/>
                      </c:ext>
                    </c:extLst>
                  </c:dLbl>
                  <c:dLbl>
                    <c:idx val="7"/>
                    <c:tx>
                      <c:rich>
                        <a:bodyPr/>
                        <a:lstStyle/>
                        <a:p>
                          <a:fld id="{F0791E87-C9D6-45CA-96C4-BA7A004317C6}" type="CELLRANGE">
                            <a:rPr lang="he-IL"/>
                            <a:pPr/>
                            <a:t>[CELLRANGE]</a:t>
                          </a:fld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A-32CD-4EEA-9AA9-4F8E9BA9DA7A}"/>
                      </c:ext>
                    </c:extLst>
                  </c:dLbl>
                  <c:dLbl>
                    <c:idx val="8"/>
                    <c:tx>
                      <c:rich>
                        <a:bodyPr/>
                        <a:lstStyle/>
                        <a:p>
                          <a:endParaRPr lang="he-IL"/>
                        </a:p>
                      </c:rich>
                    </c:tx>
                    <c:dLblPos val="t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B-32CD-4EEA-9AA9-4F8E9BA9DA7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he-IL"/>
                    </a:p>
                  </c:txPr>
                  <c:dLblPos val="t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DataLabelsRange val="1"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Lit>
                    <c:formatCode>General</c:formatCode>
                    <c:ptCount val="9"/>
                    <c:pt idx="0">
                      <c:v>66.684463427656169</c:v>
                    </c:pt>
                    <c:pt idx="1">
                      <c:v>86.17669459253618</c:v>
                    </c:pt>
                    <c:pt idx="2">
                      <c:v>96.259703599153141</c:v>
                    </c:pt>
                    <c:pt idx="3">
                      <c:v>98.000624804748526</c:v>
                    </c:pt>
                    <c:pt idx="4">
                      <c:v>80.205230056272754</c:v>
                    </c:pt>
                    <c:pt idx="5">
                      <c:v>77.085393999340596</c:v>
                    </c:pt>
                    <c:pt idx="6">
                      <c:v>98.049535603715171</c:v>
                    </c:pt>
                    <c:pt idx="7">
                      <c:v>56.091818716892284</c:v>
                    </c:pt>
                  </c:numLit>
                </c:xVal>
                <c:yVal>
                  <c:numLit>
                    <c:formatCode>General</c:formatCode>
                    <c:ptCount val="9"/>
                    <c:pt idx="0">
                      <c:v>27.923117992525366</c:v>
                    </c:pt>
                    <c:pt idx="1">
                      <c:v>5.8644325971058651</c:v>
                    </c:pt>
                    <c:pt idx="2">
                      <c:v>2.1524347212420607</c:v>
                    </c:pt>
                    <c:pt idx="3">
                      <c:v>1.3433302093095909</c:v>
                    </c:pt>
                    <c:pt idx="4">
                      <c:v>8.1429990069513405</c:v>
                    </c:pt>
                    <c:pt idx="5">
                      <c:v>8.4734586218265733</c:v>
                    </c:pt>
                    <c:pt idx="6">
                      <c:v>1.2074303405572755</c:v>
                    </c:pt>
                    <c:pt idx="7">
                      <c:v>0</c:v>
                    </c:pt>
                  </c:numLit>
                </c:yVal>
                <c:smooth val="0"/>
                <c:extLst>
                  <c:ext uri="{02D57815-91ED-43cb-92C2-25804820EDAC}">
                    <c15:datalabelsRange>
                      <c15:f>{"Dead Sea Water","DSW carnallite","DSW EB brine","EF","F1","F2","EBF","Carnallite",""}</c15:f>
                      <c15:dlblRangeCache>
                        <c:ptCount val="9"/>
                        <c:pt idx="0">
                          <c:v>Dead Sea Water</c:v>
                        </c:pt>
                        <c:pt idx="1">
                          <c:v>DSW carnallite</c:v>
                        </c:pt>
                        <c:pt idx="2">
                          <c:v>DSW EB brine</c:v>
                        </c:pt>
                        <c:pt idx="3">
                          <c:v>EF</c:v>
                        </c:pt>
                        <c:pt idx="4">
                          <c:v>F1</c:v>
                        </c:pt>
                        <c:pt idx="5">
                          <c:v>F2</c:v>
                        </c:pt>
                        <c:pt idx="6">
                          <c:v>EBF</c:v>
                        </c:pt>
                        <c:pt idx="7">
                          <c:v>Carnallite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0C-32CD-4EEA-9AA9-4F8E9BA9DA7A}"/>
                  </c:ext>
                </c:extLst>
              </c15:ser>
            </c15:filteredScatterSeries>
          </c:ext>
        </c:extLst>
      </c:scatterChart>
      <c:valAx>
        <c:axId val="584537839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52792399"/>
        <c:crosses val="autoZero"/>
        <c:crossBetween val="midCat"/>
        <c:majorUnit val="5"/>
      </c:valAx>
      <c:valAx>
        <c:axId val="352792399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84537839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028663305679851"/>
          <c:y val="0.2222744764107123"/>
          <c:w val="0.1997120587840456"/>
          <c:h val="0.19879533997765442"/>
        </c:manualLayout>
      </c:layout>
      <c:overlay val="0"/>
      <c:spPr>
        <a:gradFill rotWithShape="1">
          <a:gsLst>
            <a:gs pos="0">
              <a:schemeClr val="accent3">
                <a:lumMod val="110000"/>
                <a:satMod val="105000"/>
                <a:tint val="67000"/>
              </a:schemeClr>
            </a:gs>
            <a:gs pos="50000">
              <a:schemeClr val="accent3">
                <a:lumMod val="105000"/>
                <a:satMod val="103000"/>
                <a:tint val="73000"/>
              </a:schemeClr>
            </a:gs>
            <a:gs pos="100000">
              <a:schemeClr val="accent3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3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64543184873038"/>
          <c:y val="0.10041287026263988"/>
          <c:w val="0.84913240383765498"/>
          <c:h val="0.764855671080650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'8. ייצוא לאקסל'!$F$49</c:f>
              <c:strCache>
                <c:ptCount val="1"/>
                <c:pt idx="0">
                  <c:v>NaCl total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'8. ייצוא לאקסל'!$E$50:$E$57</c:f>
              <c:numCache>
                <c:formatCode>0.0</c:formatCode>
                <c:ptCount val="8"/>
                <c:pt idx="0" formatCode="General">
                  <c:v>0</c:v>
                </c:pt>
                <c:pt idx="1">
                  <c:v>11.486459414618093</c:v>
                </c:pt>
                <c:pt idx="2">
                  <c:v>22.255873210380678</c:v>
                </c:pt>
                <c:pt idx="3">
                  <c:v>22.255873210380678</c:v>
                </c:pt>
                <c:pt idx="4">
                  <c:v>22.255891807029332</c:v>
                </c:pt>
                <c:pt idx="5">
                  <c:v>24.755891807029332</c:v>
                </c:pt>
                <c:pt idx="6">
                  <c:v>28.755891807029332</c:v>
                </c:pt>
                <c:pt idx="7">
                  <c:v>33.755891807029329</c:v>
                </c:pt>
              </c:numCache>
            </c:numRef>
          </c:xVal>
          <c:yVal>
            <c:numRef>
              <c:f>'8. ייצוא לאקסל'!$F$50:$F$57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 formatCode="0.0">
                  <c:v>14.109547757915363</c:v>
                </c:pt>
                <c:pt idx="3" formatCode="0.0">
                  <c:v>14.113231352752587</c:v>
                </c:pt>
                <c:pt idx="4" formatCode="0.0">
                  <c:v>14.113684923995489</c:v>
                </c:pt>
                <c:pt idx="5" formatCode="0.0">
                  <c:v>17.836122652590674</c:v>
                </c:pt>
                <c:pt idx="6" formatCode="0.0">
                  <c:v>21.271449974184254</c:v>
                </c:pt>
                <c:pt idx="7" formatCode="0.0">
                  <c:v>23.826888246515519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6E-4420-938B-5CFB63AAC076}"/>
            </c:ext>
          </c:extLst>
        </c:ser>
        <c:ser>
          <c:idx val="1"/>
          <c:order val="2"/>
          <c:tx>
            <c:strRef>
              <c:f>'8. ייצוא לאקסל'!$H$49</c:f>
              <c:strCache>
                <c:ptCount val="1"/>
                <c:pt idx="0">
                  <c:v>Carnallite total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'8. ייצוא לאקסל'!$E$50:$E$57</c:f>
              <c:numCache>
                <c:formatCode>0.0</c:formatCode>
                <c:ptCount val="8"/>
                <c:pt idx="0" formatCode="General">
                  <c:v>0</c:v>
                </c:pt>
                <c:pt idx="1">
                  <c:v>11.486459414618093</c:v>
                </c:pt>
                <c:pt idx="2">
                  <c:v>22.255873210380678</c:v>
                </c:pt>
                <c:pt idx="3">
                  <c:v>22.255873210380678</c:v>
                </c:pt>
                <c:pt idx="4">
                  <c:v>22.255891807029332</c:v>
                </c:pt>
                <c:pt idx="5">
                  <c:v>24.755891807029332</c:v>
                </c:pt>
                <c:pt idx="6">
                  <c:v>28.755891807029332</c:v>
                </c:pt>
                <c:pt idx="7">
                  <c:v>33.755891807029329</c:v>
                </c:pt>
              </c:numCache>
            </c:numRef>
          </c:xVal>
          <c:yVal>
            <c:numRef>
              <c:f>'8. ייצוא לאקסל'!$H$50:$H$57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 formatCode="0.0">
                  <c:v>0</c:v>
                </c:pt>
                <c:pt idx="3" formatCode="0.0">
                  <c:v>0</c:v>
                </c:pt>
                <c:pt idx="4" formatCode="0.0">
                  <c:v>1.3886874610447375E-2</c:v>
                </c:pt>
                <c:pt idx="5" formatCode="0.0">
                  <c:v>50.393787087454314</c:v>
                </c:pt>
                <c:pt idx="6" formatCode="0.0">
                  <c:v>98.711617408903692</c:v>
                </c:pt>
                <c:pt idx="7" formatCode="0.0">
                  <c:v>146.99772500567275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6E-4420-938B-5CFB63AAC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177920"/>
        <c:axId val="155517840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'8. ייצוא לאקסל'!$G$49</c15:sqref>
                        </c15:formulaRef>
                      </c:ext>
                    </c:extLst>
                    <c:strCache>
                      <c:ptCount val="1"/>
                      <c:pt idx="0">
                        <c:v>KCl total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'8. ייצוא לאקסל'!$E$50:$E$57</c15:sqref>
                        </c15:formulaRef>
                      </c:ext>
                    </c:extLst>
                    <c:numCache>
                      <c:formatCode>0.0</c:formatCode>
                      <c:ptCount val="8"/>
                      <c:pt idx="0" formatCode="General">
                        <c:v>0</c:v>
                      </c:pt>
                      <c:pt idx="1">
                        <c:v>11.486459414618093</c:v>
                      </c:pt>
                      <c:pt idx="2">
                        <c:v>22.255873210380678</c:v>
                      </c:pt>
                      <c:pt idx="3">
                        <c:v>22.255873210380678</c:v>
                      </c:pt>
                      <c:pt idx="4">
                        <c:v>22.255891807029332</c:v>
                      </c:pt>
                      <c:pt idx="5">
                        <c:v>24.755891807029332</c:v>
                      </c:pt>
                      <c:pt idx="6">
                        <c:v>28.755891807029332</c:v>
                      </c:pt>
                      <c:pt idx="7">
                        <c:v>33.755891807029329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'8. ייצוא לאקסל'!$G$50:$G$57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 formatCode="0.0">
                        <c:v>0</c:v>
                      </c:pt>
                      <c:pt idx="3" formatCode="0.0">
                        <c:v>1.6153730277060016E-3</c:v>
                      </c:pt>
                      <c:pt idx="4" formatCode="0.0">
                        <c:v>0</c:v>
                      </c:pt>
                      <c:pt idx="5" formatCode="0.0">
                        <c:v>0</c:v>
                      </c:pt>
                      <c:pt idx="6" formatCode="0.0">
                        <c:v>0</c:v>
                      </c:pt>
                      <c:pt idx="7" formatCode="0.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2B6E-4420-938B-5CFB63AAC076}"/>
                  </c:ext>
                </c:extLst>
              </c15:ser>
            </c15:filteredScatterSeries>
          </c:ext>
        </c:extLst>
      </c:scatterChart>
      <c:valAx>
        <c:axId val="1555177920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סה"כ אחוז איוד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55178400"/>
        <c:crosses val="autoZero"/>
        <c:crossBetween val="midCat"/>
        <c:majorUnit val="5"/>
      </c:valAx>
      <c:valAx>
        <c:axId val="1555178400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כמות מוצקים, גרם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55177920"/>
        <c:crosses val="autoZero"/>
        <c:crossBetween val="midCat"/>
        <c:majorUnit val="4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846041654880275"/>
          <c:y val="0.1810769517702091"/>
          <c:w val="0.28522393598686147"/>
          <c:h val="0.17900214702101619"/>
        </c:manualLayout>
      </c:layout>
      <c:overlay val="0"/>
      <c:spPr>
        <a:gradFill rotWithShape="1">
          <a:gsLst>
            <a:gs pos="0">
              <a:schemeClr val="accent3">
                <a:lumMod val="110000"/>
                <a:satMod val="105000"/>
                <a:tint val="67000"/>
              </a:schemeClr>
            </a:gs>
            <a:gs pos="50000">
              <a:schemeClr val="accent3">
                <a:lumMod val="105000"/>
                <a:satMod val="103000"/>
                <a:tint val="73000"/>
              </a:schemeClr>
            </a:gs>
            <a:gs pos="100000">
              <a:schemeClr val="accent3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3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sz="1600"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44817185250869"/>
          <c:y val="0.10041287026263988"/>
          <c:w val="0.76744322431788414"/>
          <c:h val="0.78346260683760682"/>
        </c:manualLayout>
      </c:layout>
      <c:scatterChart>
        <c:scatterStyle val="lineMarker"/>
        <c:varyColors val="0"/>
        <c:ser>
          <c:idx val="1"/>
          <c:order val="1"/>
          <c:tx>
            <c:strRef>
              <c:f>'8. ייצוא לאקסל'!$N$38</c:f>
              <c:strCache>
                <c:ptCount val="1"/>
                <c:pt idx="0">
                  <c:v>%Na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'8. ייצוא לאקסל'!$E$39:$E$46</c:f>
              <c:numCache>
                <c:formatCode>0.0</c:formatCode>
                <c:ptCount val="8"/>
                <c:pt idx="0" formatCode="General">
                  <c:v>0</c:v>
                </c:pt>
                <c:pt idx="1">
                  <c:v>11.486459414618093</c:v>
                </c:pt>
                <c:pt idx="2">
                  <c:v>22.255873210380678</c:v>
                </c:pt>
                <c:pt idx="3">
                  <c:v>22.255873210380678</c:v>
                </c:pt>
                <c:pt idx="4">
                  <c:v>22.255891807029332</c:v>
                </c:pt>
                <c:pt idx="5">
                  <c:v>24.755891807029332</c:v>
                </c:pt>
                <c:pt idx="6">
                  <c:v>28.755891807029332</c:v>
                </c:pt>
                <c:pt idx="7">
                  <c:v>33.755891807029329</c:v>
                </c:pt>
              </c:numCache>
            </c:numRef>
          </c:xVal>
          <c:yVal>
            <c:numRef>
              <c:f>'8. ייצוא לאקסל'!$N$39:$N$46</c:f>
              <c:numCache>
                <c:formatCode>0.00</c:formatCode>
                <c:ptCount val="8"/>
                <c:pt idx="0">
                  <c:v>1.1100000000000001</c:v>
                </c:pt>
                <c:pt idx="1">
                  <c:v>1.2540454179767808</c:v>
                </c:pt>
                <c:pt idx="2">
                  <c:v>0.72742377796812263</c:v>
                </c:pt>
                <c:pt idx="3">
                  <c:v>0.72723909878365967</c:v>
                </c:pt>
                <c:pt idx="4">
                  <c:v>0.72722803740085029</c:v>
                </c:pt>
                <c:pt idx="5">
                  <c:v>0.5974043539932774</c:v>
                </c:pt>
                <c:pt idx="6">
                  <c:v>0.46195101676698452</c:v>
                </c:pt>
                <c:pt idx="7">
                  <c:v>0.35234043319311498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D2-4700-9FE5-FD1919CBA983}"/>
            </c:ext>
          </c:extLst>
        </c:ser>
        <c:ser>
          <c:idx val="2"/>
          <c:order val="2"/>
          <c:tx>
            <c:strRef>
              <c:f>'8. ייצוא לאקסל'!$L$38</c:f>
              <c:strCache>
                <c:ptCount val="1"/>
                <c:pt idx="0">
                  <c:v>%Mg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'8. ייצוא לאקסל'!$E$39:$E$46</c:f>
              <c:numCache>
                <c:formatCode>0.0</c:formatCode>
                <c:ptCount val="8"/>
                <c:pt idx="0" formatCode="General">
                  <c:v>0</c:v>
                </c:pt>
                <c:pt idx="1">
                  <c:v>11.486459414618093</c:v>
                </c:pt>
                <c:pt idx="2">
                  <c:v>22.255873210380678</c:v>
                </c:pt>
                <c:pt idx="3">
                  <c:v>22.255873210380678</c:v>
                </c:pt>
                <c:pt idx="4">
                  <c:v>22.255891807029332</c:v>
                </c:pt>
                <c:pt idx="5">
                  <c:v>24.755891807029332</c:v>
                </c:pt>
                <c:pt idx="6">
                  <c:v>28.755891807029332</c:v>
                </c:pt>
                <c:pt idx="7">
                  <c:v>33.755891807029329</c:v>
                </c:pt>
              </c:numCache>
            </c:numRef>
          </c:xVal>
          <c:yVal>
            <c:numRef>
              <c:f>'8. ייצוא לאקסל'!$L$39:$L$46</c:f>
              <c:numCache>
                <c:formatCode>0.00</c:formatCode>
                <c:ptCount val="8"/>
                <c:pt idx="0">
                  <c:v>5.55</c:v>
                </c:pt>
                <c:pt idx="1">
                  <c:v>6.2702270898839041</c:v>
                </c:pt>
                <c:pt idx="2">
                  <c:v>7.2707577237778285</c:v>
                </c:pt>
                <c:pt idx="3">
                  <c:v>7.2708081969574057</c:v>
                </c:pt>
                <c:pt idx="4">
                  <c:v>7.270772154649694</c:v>
                </c:pt>
                <c:pt idx="5">
                  <c:v>7.4677347465279151</c:v>
                </c:pt>
                <c:pt idx="6">
                  <c:v>7.9113809366898753</c:v>
                </c:pt>
                <c:pt idx="7">
                  <c:v>8.6756488033470696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D2-4700-9FE5-FD1919CBA983}"/>
            </c:ext>
          </c:extLst>
        </c:ser>
        <c:ser>
          <c:idx val="3"/>
          <c:order val="3"/>
          <c:tx>
            <c:strRef>
              <c:f>'8. ייצוא לאקסל'!$M$38</c:f>
              <c:strCache>
                <c:ptCount val="1"/>
                <c:pt idx="0">
                  <c:v>%K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'8. ייצוא לאקסל'!$E$39:$E$46</c:f>
              <c:numCache>
                <c:formatCode>0.0</c:formatCode>
                <c:ptCount val="8"/>
                <c:pt idx="0" formatCode="General">
                  <c:v>0</c:v>
                </c:pt>
                <c:pt idx="1">
                  <c:v>11.486459414618093</c:v>
                </c:pt>
                <c:pt idx="2">
                  <c:v>22.255873210380678</c:v>
                </c:pt>
                <c:pt idx="3">
                  <c:v>22.255873210380678</c:v>
                </c:pt>
                <c:pt idx="4">
                  <c:v>22.255891807029332</c:v>
                </c:pt>
                <c:pt idx="5">
                  <c:v>24.755891807029332</c:v>
                </c:pt>
                <c:pt idx="6">
                  <c:v>28.755891807029332</c:v>
                </c:pt>
                <c:pt idx="7">
                  <c:v>33.755891807029329</c:v>
                </c:pt>
              </c:numCache>
            </c:numRef>
          </c:xVal>
          <c:yVal>
            <c:numRef>
              <c:f>'8. ייצוא לאקסל'!$M$39:$M$46</c:f>
              <c:numCache>
                <c:formatCode>0.00</c:formatCode>
                <c:ptCount val="8"/>
                <c:pt idx="0">
                  <c:v>2.74</c:v>
                </c:pt>
                <c:pt idx="1">
                  <c:v>3.0955715723030446</c:v>
                </c:pt>
                <c:pt idx="2">
                  <c:v>3.5895272366038289</c:v>
                </c:pt>
                <c:pt idx="3">
                  <c:v>3.5894412372947566</c:v>
                </c:pt>
                <c:pt idx="4">
                  <c:v>3.5893569919058965</c:v>
                </c:pt>
                <c:pt idx="5">
                  <c:v>2.9687093053414566</c:v>
                </c:pt>
                <c:pt idx="6">
                  <c:v>2.2814206634057523</c:v>
                </c:pt>
                <c:pt idx="7">
                  <c:v>1.3679647742883179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D2-4700-9FE5-FD1919CBA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177920"/>
        <c:axId val="1555178400"/>
      </c:scatterChart>
      <c:scatterChart>
        <c:scatterStyle val="lineMarker"/>
        <c:varyColors val="0"/>
        <c:ser>
          <c:idx val="0"/>
          <c:order val="0"/>
          <c:tx>
            <c:strRef>
              <c:f>'8. ייצוא לאקסל'!$K$38</c:f>
              <c:strCache>
                <c:ptCount val="1"/>
                <c:pt idx="0">
                  <c:v>%Cl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'8. ייצוא לאקסל'!$E$39:$E$46</c:f>
              <c:numCache>
                <c:formatCode>0.0</c:formatCode>
                <c:ptCount val="8"/>
                <c:pt idx="0" formatCode="General">
                  <c:v>0</c:v>
                </c:pt>
                <c:pt idx="1">
                  <c:v>11.486459414618093</c:v>
                </c:pt>
                <c:pt idx="2">
                  <c:v>22.255873210380678</c:v>
                </c:pt>
                <c:pt idx="3">
                  <c:v>22.255873210380678</c:v>
                </c:pt>
                <c:pt idx="4">
                  <c:v>22.255891807029332</c:v>
                </c:pt>
                <c:pt idx="5">
                  <c:v>24.755891807029332</c:v>
                </c:pt>
                <c:pt idx="6">
                  <c:v>28.755891807029332</c:v>
                </c:pt>
                <c:pt idx="7">
                  <c:v>33.755891807029329</c:v>
                </c:pt>
              </c:numCache>
            </c:numRef>
          </c:xVal>
          <c:yVal>
            <c:numRef>
              <c:f>'8. ייצוא לאקסל'!$K$39:$K$46</c:f>
              <c:numCache>
                <c:formatCode>0.00</c:formatCode>
                <c:ptCount val="8"/>
                <c:pt idx="0">
                  <c:v>21.23</c:v>
                </c:pt>
                <c:pt idx="1">
                  <c:v>23.985030832114465</c:v>
                </c:pt>
                <c:pt idx="2">
                  <c:v>26.690597341889383</c:v>
                </c:pt>
                <c:pt idx="3">
                  <c:v>26.690389078774132</c:v>
                </c:pt>
                <c:pt idx="4">
                  <c:v>26.690208222611339</c:v>
                </c:pt>
                <c:pt idx="5">
                  <c:v>26.624943274274177</c:v>
                </c:pt>
                <c:pt idx="6">
                  <c:v>27.272127095447374</c:v>
                </c:pt>
                <c:pt idx="7">
                  <c:v>28.788106279875556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D2-4700-9FE5-FD1919CBA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015391"/>
        <c:axId val="357008671"/>
      </c:scatterChart>
      <c:valAx>
        <c:axId val="1555177920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סה"כ אחוז איוד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55178400"/>
        <c:crosses val="autoZero"/>
        <c:crossBetween val="midCat"/>
        <c:majorUnit val="5"/>
      </c:valAx>
      <c:valAx>
        <c:axId val="155517840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rtl="1"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ריכוז תמיסת אם, </a:t>
                </a:r>
                <a:r>
                  <a:rPr lang="en-US"/>
                  <a:t>%Na, K,</a:t>
                </a:r>
                <a:r>
                  <a:rPr lang="en-US" baseline="0"/>
                  <a:t> Mg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rtl="1"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55177920"/>
        <c:crosses val="autoZero"/>
        <c:crossBetween val="midCat"/>
      </c:valAx>
      <c:valAx>
        <c:axId val="357008671"/>
        <c:scaling>
          <c:orientation val="minMax"/>
          <c:max val="4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 rtl="1"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ריכוז תמיסת אם, </a:t>
                </a:r>
                <a:r>
                  <a:rPr lang="en-US"/>
                  <a:t>%Cl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rtl="1"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57015391"/>
        <c:crosses val="max"/>
        <c:crossBetween val="midCat"/>
        <c:majorUnit val="4"/>
      </c:valAx>
      <c:valAx>
        <c:axId val="357015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7008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266019573532084"/>
          <c:y val="0.4364044124358058"/>
          <c:w val="0.13190251972300898"/>
          <c:h val="0.25912189461473895"/>
        </c:manualLayout>
      </c:layout>
      <c:overlay val="0"/>
      <c:spPr>
        <a:gradFill rotWithShape="1">
          <a:gsLst>
            <a:gs pos="0">
              <a:schemeClr val="accent3">
                <a:lumMod val="110000"/>
                <a:satMod val="105000"/>
                <a:tint val="67000"/>
              </a:schemeClr>
            </a:gs>
            <a:gs pos="50000">
              <a:schemeClr val="accent3">
                <a:lumMod val="105000"/>
                <a:satMod val="103000"/>
                <a:tint val="73000"/>
              </a:schemeClr>
            </a:gs>
            <a:gs pos="100000">
              <a:schemeClr val="accent3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3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253118165787179E-2"/>
          <c:y val="3.238469587826507E-2"/>
          <c:w val="0.86591328373477539"/>
          <c:h val="0.88459782009501675"/>
        </c:manualLayout>
      </c:layout>
      <c:scatterChart>
        <c:scatterStyle val="lineMarker"/>
        <c:varyColors val="0"/>
        <c:ser>
          <c:idx val="0"/>
          <c:order val="0"/>
          <c:tx>
            <c:v>60C</c:v>
          </c:tx>
          <c:spPr>
            <a:ln w="19050" cap="rnd">
              <a:solidFill>
                <a:schemeClr val="accent2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65000"/>
                </a:schemeClr>
              </a:solidFill>
              <a:ln w="9525">
                <a:solidFill>
                  <a:schemeClr val="accent2">
                    <a:tint val="65000"/>
                  </a:schemeClr>
                </a:solidFill>
              </a:ln>
              <a:effectLst/>
            </c:spPr>
          </c:marker>
          <c:xVal>
            <c:numLit>
              <c:formatCode>0.0</c:formatCode>
              <c:ptCount val="8"/>
              <c:pt idx="0">
                <c:v>0</c:v>
              </c:pt>
              <c:pt idx="1">
                <c:v>6.5306122448979584</c:v>
              </c:pt>
              <c:pt idx="2">
                <c:v>12.13364595545135</c:v>
              </c:pt>
              <c:pt idx="3">
                <c:v>18.487891317188421</c:v>
              </c:pt>
              <c:pt idx="4">
                <c:v>24.566128067025726</c:v>
              </c:pt>
              <c:pt idx="5">
                <c:v>82.008862629246678</c:v>
              </c:pt>
              <c:pt idx="6">
                <c:v>97.106109324758847</c:v>
              </c:pt>
            </c:numLit>
          </c:xVal>
          <c:yVal>
            <c:numLit>
              <c:formatCode>0.0</c:formatCode>
              <c:ptCount val="8"/>
              <c:pt idx="0">
                <c:v>65.69</c:v>
              </c:pt>
              <c:pt idx="1">
                <c:v>65.699999999999989</c:v>
              </c:pt>
              <c:pt idx="2">
                <c:v>65.88</c:v>
              </c:pt>
              <c:pt idx="3">
                <c:v>66.14</c:v>
              </c:pt>
              <c:pt idx="4">
                <c:v>66.58</c:v>
              </c:pt>
              <c:pt idx="5">
                <c:v>66.150000000000006</c:v>
              </c:pt>
              <c:pt idx="6">
                <c:v>61.652281134401967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C052-4D03-9FB7-FA121AC67E9E}"/>
            </c:ext>
          </c:extLst>
        </c:ser>
        <c:ser>
          <c:idx val="1"/>
          <c:order val="1"/>
          <c:tx>
            <c:v>80C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0.0</c:formatCode>
              <c:ptCount val="8"/>
              <c:pt idx="0">
                <c:v>0</c:v>
              </c:pt>
              <c:pt idx="1">
                <c:v>6.7862068965517244</c:v>
              </c:pt>
              <c:pt idx="2">
                <c:v>10.673372450405143</c:v>
              </c:pt>
              <c:pt idx="3">
                <c:v>14.378531073446327</c:v>
              </c:pt>
              <c:pt idx="4">
                <c:v>18.259385665529013</c:v>
              </c:pt>
              <c:pt idx="5">
                <c:v>21.916643039410264</c:v>
              </c:pt>
              <c:pt idx="6">
                <c:v>80.75524475524476</c:v>
              </c:pt>
              <c:pt idx="7">
                <c:v>97.325408618127796</c:v>
              </c:pt>
            </c:numLit>
          </c:xVal>
          <c:yVal>
            <c:numLit>
              <c:formatCode>0.0</c:formatCode>
              <c:ptCount val="8"/>
              <c:pt idx="0">
                <c:v>63.65</c:v>
              </c:pt>
              <c:pt idx="1">
                <c:v>63.75</c:v>
              </c:pt>
              <c:pt idx="2">
                <c:v>64.210000000000008</c:v>
              </c:pt>
              <c:pt idx="3">
                <c:v>64.599999999999994</c:v>
              </c:pt>
              <c:pt idx="4">
                <c:v>64.84</c:v>
              </c:pt>
              <c:pt idx="5">
                <c:v>64.72999999999999</c:v>
              </c:pt>
              <c:pt idx="6">
                <c:v>64.25</c:v>
              </c:pt>
              <c:pt idx="7">
                <c:v>59.772863120143462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052-4D03-9FB7-FA121AC67E9E}"/>
            </c:ext>
          </c:extLst>
        </c:ser>
        <c:ser>
          <c:idx val="2"/>
          <c:order val="2"/>
          <c:tx>
            <c:v>תכנון 80 מצ</c:v>
          </c:tx>
          <c:spPr>
            <a:ln w="19050" cap="rnd">
              <a:solidFill>
                <a:schemeClr val="accent2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xVal>
            <c:numRef>
              <c:f>'8. ייצוא לאקסל'!$P$39:$P$46</c:f>
              <c:numCache>
                <c:formatCode>0.0</c:formatCode>
                <c:ptCount val="8"/>
                <c:pt idx="0">
                  <c:v>72.998707233522467</c:v>
                </c:pt>
                <c:pt idx="1">
                  <c:v>72.998707233522467</c:v>
                </c:pt>
                <c:pt idx="2">
                  <c:v>76.624616801999196</c:v>
                </c:pt>
                <c:pt idx="3">
                  <c:v>76.626046210657634</c:v>
                </c:pt>
                <c:pt idx="4">
                  <c:v>76.626346333233627</c:v>
                </c:pt>
                <c:pt idx="5">
                  <c:v>80.303127920227425</c:v>
                </c:pt>
                <c:pt idx="6">
                  <c:v>84.87813761311341</c:v>
                </c:pt>
                <c:pt idx="7">
                  <c:v>90.657842888402229</c:v>
                </c:pt>
              </c:numCache>
            </c:numRef>
          </c:xVal>
          <c:yVal>
            <c:numRef>
              <c:f>'8. ייצוא לאקסל'!$T$39:$T$46</c:f>
              <c:numCache>
                <c:formatCode>0.0</c:formatCode>
                <c:ptCount val="8"/>
                <c:pt idx="0">
                  <c:v>70.182965962552487</c:v>
                </c:pt>
                <c:pt idx="1">
                  <c:v>66.313590169082204</c:v>
                </c:pt>
                <c:pt idx="2">
                  <c:v>62.786717082174718</c:v>
                </c:pt>
                <c:pt idx="3">
                  <c:v>62.787152943933116</c:v>
                </c:pt>
                <c:pt idx="4">
                  <c:v>62.787483163596875</c:v>
                </c:pt>
                <c:pt idx="5">
                  <c:v>63.529388220449682</c:v>
                </c:pt>
                <c:pt idx="6">
                  <c:v>63.445311974850526</c:v>
                </c:pt>
                <c:pt idx="7">
                  <c:v>62.469598637239145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52-4D03-9FB7-FA121AC67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537839"/>
        <c:axId val="352792399"/>
      </c:scatterChart>
      <c:valAx>
        <c:axId val="584537839"/>
        <c:scaling>
          <c:orientation val="minMax"/>
          <c:max val="100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%MgCl2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52792399"/>
        <c:crosses val="autoZero"/>
        <c:crossBetween val="midCat"/>
        <c:majorUnit val="5"/>
      </c:valAx>
      <c:valAx>
        <c:axId val="352792399"/>
        <c:scaling>
          <c:orientation val="minMax"/>
          <c:max val="75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%H2O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845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783825612408534"/>
          <c:y val="3.0973400040706891E-2"/>
          <c:w val="0.25290821593471213"/>
          <c:h val="0.15972772315763623"/>
        </c:manualLayout>
      </c:layout>
      <c:overlay val="0"/>
      <c:spPr>
        <a:gradFill rotWithShape="1">
          <a:gsLst>
            <a:gs pos="0">
              <a:schemeClr val="accent3">
                <a:lumMod val="110000"/>
                <a:satMod val="105000"/>
                <a:tint val="67000"/>
              </a:schemeClr>
            </a:gs>
            <a:gs pos="50000">
              <a:schemeClr val="accent3">
                <a:lumMod val="105000"/>
                <a:satMod val="103000"/>
                <a:tint val="73000"/>
              </a:schemeClr>
            </a:gs>
            <a:gs pos="100000">
              <a:schemeClr val="accent3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3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44817185250869"/>
          <c:y val="0.10041287026263988"/>
          <c:w val="0.76744322431788414"/>
          <c:h val="0.7780352564102565"/>
        </c:manualLayout>
      </c:layout>
      <c:scatterChart>
        <c:scatterStyle val="lineMarker"/>
        <c:varyColors val="0"/>
        <c:ser>
          <c:idx val="1"/>
          <c:order val="1"/>
          <c:tx>
            <c:strRef>
              <c:f>'8. ייצוא לאקסל'!$H$86</c:f>
              <c:strCache>
                <c:ptCount val="1"/>
                <c:pt idx="0">
                  <c:v>Na_pct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'8. ייצוא לאקסל'!$Q$87:$Q$119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7.0000000000000009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14.000000000000002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28.000000000000004</c:v>
                </c:pt>
                <c:pt idx="29">
                  <c:v>28.999999999999996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xVal>
          <c:yVal>
            <c:numRef>
              <c:f>'8. ייצוא לאקסל'!$H$87:$H$119</c:f>
              <c:numCache>
                <c:formatCode>General</c:formatCode>
                <c:ptCount val="33"/>
                <c:pt idx="0">
                  <c:v>1.1100000000000001</c:v>
                </c:pt>
                <c:pt idx="1">
                  <c:v>1.1200000000000001</c:v>
                </c:pt>
                <c:pt idx="2">
                  <c:v>1.1299999999999999</c:v>
                </c:pt>
                <c:pt idx="3">
                  <c:v>1.1399999999999999</c:v>
                </c:pt>
                <c:pt idx="4">
                  <c:v>1.1599999999999999</c:v>
                </c:pt>
                <c:pt idx="5">
                  <c:v>1.17</c:v>
                </c:pt>
                <c:pt idx="6">
                  <c:v>1.18</c:v>
                </c:pt>
                <c:pt idx="7">
                  <c:v>1.19</c:v>
                </c:pt>
                <c:pt idx="8">
                  <c:v>1.21</c:v>
                </c:pt>
                <c:pt idx="9">
                  <c:v>1.22</c:v>
                </c:pt>
                <c:pt idx="10">
                  <c:v>1.23</c:v>
                </c:pt>
                <c:pt idx="11">
                  <c:v>1.25</c:v>
                </c:pt>
                <c:pt idx="12">
                  <c:v>1.23</c:v>
                </c:pt>
                <c:pt idx="13">
                  <c:v>1.19</c:v>
                </c:pt>
                <c:pt idx="14">
                  <c:v>1.1399999999999999</c:v>
                </c:pt>
                <c:pt idx="15">
                  <c:v>1.0900000000000001</c:v>
                </c:pt>
                <c:pt idx="16">
                  <c:v>1.05</c:v>
                </c:pt>
                <c:pt idx="17">
                  <c:v>0.999</c:v>
                </c:pt>
                <c:pt idx="18">
                  <c:v>0.95</c:v>
                </c:pt>
                <c:pt idx="19">
                  <c:v>0.9</c:v>
                </c:pt>
                <c:pt idx="20">
                  <c:v>0.84799999999999998</c:v>
                </c:pt>
                <c:pt idx="21">
                  <c:v>0.79600000000000004</c:v>
                </c:pt>
                <c:pt idx="22">
                  <c:v>0.74199999999999999</c:v>
                </c:pt>
                <c:pt idx="23">
                  <c:v>0.68300000000000005</c:v>
                </c:pt>
                <c:pt idx="24">
                  <c:v>0.63200000000000001</c:v>
                </c:pt>
                <c:pt idx="25">
                  <c:v>0.58699999999999997</c:v>
                </c:pt>
                <c:pt idx="26">
                  <c:v>0.54800000000000004</c:v>
                </c:pt>
                <c:pt idx="27">
                  <c:v>0.51300000000000001</c:v>
                </c:pt>
                <c:pt idx="28">
                  <c:v>0.48199999999999998</c:v>
                </c:pt>
                <c:pt idx="29">
                  <c:v>0.45600000000000002</c:v>
                </c:pt>
                <c:pt idx="30">
                  <c:v>0.433</c:v>
                </c:pt>
                <c:pt idx="31">
                  <c:v>0.41299999999999998</c:v>
                </c:pt>
                <c:pt idx="32">
                  <c:v>0.39300000000000002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49-4C7E-A2EE-1CA678C136C0}"/>
            </c:ext>
          </c:extLst>
        </c:ser>
        <c:ser>
          <c:idx val="2"/>
          <c:order val="2"/>
          <c:tx>
            <c:strRef>
              <c:f>'8. ייצוא לאקסל'!$J$86</c:f>
              <c:strCache>
                <c:ptCount val="1"/>
                <c:pt idx="0">
                  <c:v>Mg_pct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'8. ייצוא לאקסל'!$Q$87:$Q$119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7.0000000000000009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14.000000000000002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28.000000000000004</c:v>
                </c:pt>
                <c:pt idx="29">
                  <c:v>28.999999999999996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xVal>
          <c:yVal>
            <c:numRef>
              <c:f>'8. ייצוא לאקסל'!$J$87:$J$119</c:f>
              <c:numCache>
                <c:formatCode>General</c:formatCode>
                <c:ptCount val="33"/>
                <c:pt idx="0">
                  <c:v>5.55</c:v>
                </c:pt>
                <c:pt idx="1">
                  <c:v>5.61</c:v>
                </c:pt>
                <c:pt idx="2">
                  <c:v>5.66</c:v>
                </c:pt>
                <c:pt idx="3">
                  <c:v>5.72</c:v>
                </c:pt>
                <c:pt idx="4">
                  <c:v>5.78</c:v>
                </c:pt>
                <c:pt idx="5">
                  <c:v>5.84</c:v>
                </c:pt>
                <c:pt idx="6">
                  <c:v>5.9</c:v>
                </c:pt>
                <c:pt idx="7">
                  <c:v>5.97</c:v>
                </c:pt>
                <c:pt idx="8">
                  <c:v>6.03</c:v>
                </c:pt>
                <c:pt idx="9">
                  <c:v>6.1</c:v>
                </c:pt>
                <c:pt idx="10">
                  <c:v>6.17</c:v>
                </c:pt>
                <c:pt idx="11">
                  <c:v>6.24</c:v>
                </c:pt>
                <c:pt idx="12">
                  <c:v>6.31</c:v>
                </c:pt>
                <c:pt idx="13">
                  <c:v>6.39</c:v>
                </c:pt>
                <c:pt idx="14">
                  <c:v>6.48</c:v>
                </c:pt>
                <c:pt idx="15">
                  <c:v>6.57</c:v>
                </c:pt>
                <c:pt idx="16">
                  <c:v>6.65</c:v>
                </c:pt>
                <c:pt idx="17">
                  <c:v>6.75</c:v>
                </c:pt>
                <c:pt idx="18">
                  <c:v>6.84</c:v>
                </c:pt>
                <c:pt idx="19">
                  <c:v>6.94</c:v>
                </c:pt>
                <c:pt idx="20">
                  <c:v>7.04</c:v>
                </c:pt>
                <c:pt idx="21">
                  <c:v>7.14</c:v>
                </c:pt>
                <c:pt idx="22">
                  <c:v>7.24</c:v>
                </c:pt>
                <c:pt idx="23">
                  <c:v>7.32</c:v>
                </c:pt>
                <c:pt idx="24">
                  <c:v>7.4</c:v>
                </c:pt>
                <c:pt idx="25">
                  <c:v>7.49</c:v>
                </c:pt>
                <c:pt idx="26">
                  <c:v>7.59</c:v>
                </c:pt>
                <c:pt idx="27">
                  <c:v>7.7</c:v>
                </c:pt>
                <c:pt idx="28">
                  <c:v>7.82</c:v>
                </c:pt>
                <c:pt idx="29">
                  <c:v>7.94</c:v>
                </c:pt>
                <c:pt idx="30">
                  <c:v>8.08</c:v>
                </c:pt>
                <c:pt idx="31">
                  <c:v>8.2200000000000006</c:v>
                </c:pt>
                <c:pt idx="32">
                  <c:v>8.3699999999999992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9-4C7E-A2EE-1CA678C136C0}"/>
            </c:ext>
          </c:extLst>
        </c:ser>
        <c:ser>
          <c:idx val="3"/>
          <c:order val="3"/>
          <c:tx>
            <c:strRef>
              <c:f>'8. ייצוא לאקסל'!$I$86</c:f>
              <c:strCache>
                <c:ptCount val="1"/>
                <c:pt idx="0">
                  <c:v>K_pct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'8. ייצוא לאקסל'!$Q$87:$Q$119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7.0000000000000009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14.000000000000002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28.000000000000004</c:v>
                </c:pt>
                <c:pt idx="29">
                  <c:v>28.999999999999996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xVal>
          <c:yVal>
            <c:numRef>
              <c:f>'8. ייצוא לאקסל'!$I$87:$I$119</c:f>
              <c:numCache>
                <c:formatCode>General</c:formatCode>
                <c:ptCount val="33"/>
                <c:pt idx="0">
                  <c:v>2.74</c:v>
                </c:pt>
                <c:pt idx="1">
                  <c:v>2.77</c:v>
                </c:pt>
                <c:pt idx="2">
                  <c:v>2.8</c:v>
                </c:pt>
                <c:pt idx="3">
                  <c:v>2.82</c:v>
                </c:pt>
                <c:pt idx="4">
                  <c:v>2.85</c:v>
                </c:pt>
                <c:pt idx="5">
                  <c:v>2.88</c:v>
                </c:pt>
                <c:pt idx="6">
                  <c:v>2.91</c:v>
                </c:pt>
                <c:pt idx="7">
                  <c:v>2.95</c:v>
                </c:pt>
                <c:pt idx="8">
                  <c:v>2.98</c:v>
                </c:pt>
                <c:pt idx="9">
                  <c:v>3.01</c:v>
                </c:pt>
                <c:pt idx="10">
                  <c:v>3.04</c:v>
                </c:pt>
                <c:pt idx="11">
                  <c:v>3.08</c:v>
                </c:pt>
                <c:pt idx="12">
                  <c:v>3.12</c:v>
                </c:pt>
                <c:pt idx="13">
                  <c:v>3.16</c:v>
                </c:pt>
                <c:pt idx="14">
                  <c:v>3.2</c:v>
                </c:pt>
                <c:pt idx="15">
                  <c:v>3.24</c:v>
                </c:pt>
                <c:pt idx="16">
                  <c:v>3.29</c:v>
                </c:pt>
                <c:pt idx="17">
                  <c:v>3.33</c:v>
                </c:pt>
                <c:pt idx="18">
                  <c:v>3.38</c:v>
                </c:pt>
                <c:pt idx="19">
                  <c:v>3.42</c:v>
                </c:pt>
                <c:pt idx="20">
                  <c:v>3.47</c:v>
                </c:pt>
                <c:pt idx="21">
                  <c:v>3.52</c:v>
                </c:pt>
                <c:pt idx="22">
                  <c:v>3.58</c:v>
                </c:pt>
                <c:pt idx="23">
                  <c:v>3.35</c:v>
                </c:pt>
                <c:pt idx="24">
                  <c:v>3.12</c:v>
                </c:pt>
                <c:pt idx="25">
                  <c:v>2.92</c:v>
                </c:pt>
                <c:pt idx="26">
                  <c:v>2.75</c:v>
                </c:pt>
                <c:pt idx="27">
                  <c:v>2.58</c:v>
                </c:pt>
                <c:pt idx="28">
                  <c:v>2.41</c:v>
                </c:pt>
                <c:pt idx="29">
                  <c:v>2.2400000000000002</c:v>
                </c:pt>
                <c:pt idx="30">
                  <c:v>2.06</c:v>
                </c:pt>
                <c:pt idx="31">
                  <c:v>1.88</c:v>
                </c:pt>
                <c:pt idx="32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49-4C7E-A2EE-1CA678C13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177920"/>
        <c:axId val="1555178400"/>
      </c:scatterChart>
      <c:scatterChart>
        <c:scatterStyle val="lineMarker"/>
        <c:varyColors val="0"/>
        <c:ser>
          <c:idx val="0"/>
          <c:order val="0"/>
          <c:tx>
            <c:strRef>
              <c:f>'8. ייצוא לאקסל'!$K$86</c:f>
              <c:strCache>
                <c:ptCount val="1"/>
                <c:pt idx="0">
                  <c:v>Cl_pct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'8. ייצוא לאקסל'!$Q$87:$Q$119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7.0000000000000009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14.000000000000002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28.000000000000004</c:v>
                </c:pt>
                <c:pt idx="29">
                  <c:v>28.999999999999996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xVal>
          <c:yVal>
            <c:numRef>
              <c:f>'8. ייצוא לאקסל'!$K$87:$K$119</c:f>
              <c:numCache>
                <c:formatCode>General</c:formatCode>
                <c:ptCount val="33"/>
                <c:pt idx="0">
                  <c:v>21.2</c:v>
                </c:pt>
                <c:pt idx="1">
                  <c:v>21.4</c:v>
                </c:pt>
                <c:pt idx="2">
                  <c:v>21.7</c:v>
                </c:pt>
                <c:pt idx="3">
                  <c:v>21.9</c:v>
                </c:pt>
                <c:pt idx="4">
                  <c:v>22.1</c:v>
                </c:pt>
                <c:pt idx="5">
                  <c:v>22.3</c:v>
                </c:pt>
                <c:pt idx="6">
                  <c:v>22.6</c:v>
                </c:pt>
                <c:pt idx="7">
                  <c:v>22.8</c:v>
                </c:pt>
                <c:pt idx="8">
                  <c:v>23.1</c:v>
                </c:pt>
                <c:pt idx="9">
                  <c:v>23.3</c:v>
                </c:pt>
                <c:pt idx="10">
                  <c:v>23.6</c:v>
                </c:pt>
                <c:pt idx="11">
                  <c:v>23.9</c:v>
                </c:pt>
                <c:pt idx="12">
                  <c:v>24.1</c:v>
                </c:pt>
                <c:pt idx="13">
                  <c:v>24.3</c:v>
                </c:pt>
                <c:pt idx="14">
                  <c:v>24.5</c:v>
                </c:pt>
                <c:pt idx="15">
                  <c:v>24.8</c:v>
                </c:pt>
                <c:pt idx="16">
                  <c:v>25</c:v>
                </c:pt>
                <c:pt idx="17">
                  <c:v>25.3</c:v>
                </c:pt>
                <c:pt idx="18">
                  <c:v>25.5</c:v>
                </c:pt>
                <c:pt idx="19">
                  <c:v>25.8</c:v>
                </c:pt>
                <c:pt idx="20">
                  <c:v>26.1</c:v>
                </c:pt>
                <c:pt idx="21">
                  <c:v>26.3</c:v>
                </c:pt>
                <c:pt idx="22">
                  <c:v>26.6</c:v>
                </c:pt>
                <c:pt idx="23">
                  <c:v>26.6</c:v>
                </c:pt>
                <c:pt idx="24">
                  <c:v>26.6</c:v>
                </c:pt>
                <c:pt idx="25">
                  <c:v>26.6</c:v>
                </c:pt>
                <c:pt idx="26">
                  <c:v>26.8</c:v>
                </c:pt>
                <c:pt idx="27">
                  <c:v>26.9</c:v>
                </c:pt>
                <c:pt idx="28">
                  <c:v>27.1</c:v>
                </c:pt>
                <c:pt idx="29">
                  <c:v>27.3</c:v>
                </c:pt>
                <c:pt idx="30">
                  <c:v>27.6</c:v>
                </c:pt>
                <c:pt idx="31">
                  <c:v>27.9</c:v>
                </c:pt>
                <c:pt idx="32">
                  <c:v>28.2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49-4C7E-A2EE-1CA678C13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015391"/>
        <c:axId val="357008671"/>
      </c:scatterChart>
      <c:valAx>
        <c:axId val="1555177920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סה"כ אחוז איוד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55178400"/>
        <c:crosses val="autoZero"/>
        <c:crossBetween val="midCat"/>
        <c:majorUnit val="5"/>
      </c:valAx>
      <c:valAx>
        <c:axId val="155517840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rtl="1"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ריכוז תמיסת אם, </a:t>
                </a:r>
                <a:r>
                  <a:rPr lang="en-US"/>
                  <a:t>%Na, K,</a:t>
                </a:r>
                <a:r>
                  <a:rPr lang="en-US" baseline="0"/>
                  <a:t> Mg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rtl="1"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55177920"/>
        <c:crosses val="autoZero"/>
        <c:crossBetween val="midCat"/>
      </c:valAx>
      <c:valAx>
        <c:axId val="357008671"/>
        <c:scaling>
          <c:orientation val="minMax"/>
          <c:max val="4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 rtl="1"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ריכוז תמיסת אם, </a:t>
                </a:r>
                <a:r>
                  <a:rPr lang="en-US"/>
                  <a:t>%Cl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rtl="1"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57015391"/>
        <c:crosses val="max"/>
        <c:crossBetween val="midCat"/>
        <c:majorUnit val="4"/>
      </c:valAx>
      <c:valAx>
        <c:axId val="357015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7008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1749706284190917"/>
          <c:y val="0.4364044124358058"/>
          <c:w val="0.17706567369999726"/>
          <c:h val="0.25912189461473895"/>
        </c:manualLayout>
      </c:layout>
      <c:overlay val="0"/>
      <c:spPr>
        <a:gradFill rotWithShape="1">
          <a:gsLst>
            <a:gs pos="0">
              <a:schemeClr val="accent3">
                <a:lumMod val="110000"/>
                <a:satMod val="105000"/>
                <a:tint val="67000"/>
              </a:schemeClr>
            </a:gs>
            <a:gs pos="50000">
              <a:schemeClr val="accent3">
                <a:lumMod val="105000"/>
                <a:satMod val="103000"/>
                <a:tint val="73000"/>
              </a:schemeClr>
            </a:gs>
            <a:gs pos="100000">
              <a:schemeClr val="accent3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3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64543184873038"/>
          <c:y val="0.10041287026263988"/>
          <c:w val="0.84913240383765498"/>
          <c:h val="0.764855671080650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'8. ייצוא לאקסל'!$F$86</c:f>
              <c:strCache>
                <c:ptCount val="1"/>
                <c:pt idx="0">
                  <c:v>nacl_mass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'8. ייצוא לאקסל'!$Q$87:$Q$119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7.0000000000000009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14.000000000000002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28.000000000000004</c:v>
                </c:pt>
                <c:pt idx="29">
                  <c:v>28.999999999999996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xVal>
          <c:yVal>
            <c:numRef>
              <c:f>'8. ייצוא לאקסל'!$F$87:$F$119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0.69799999999999995</c:v>
                </c:pt>
                <c:pt idx="13">
                  <c:v>2.0499999999999998</c:v>
                </c:pt>
                <c:pt idx="14">
                  <c:v>3.38</c:v>
                </c:pt>
                <c:pt idx="15">
                  <c:v>4.71</c:v>
                </c:pt>
                <c:pt idx="16">
                  <c:v>6.02</c:v>
                </c:pt>
                <c:pt idx="17">
                  <c:v>7.33</c:v>
                </c:pt>
                <c:pt idx="18">
                  <c:v>8.6300000000000008</c:v>
                </c:pt>
                <c:pt idx="19">
                  <c:v>9.92</c:v>
                </c:pt>
                <c:pt idx="20">
                  <c:v>11.2</c:v>
                </c:pt>
                <c:pt idx="21">
                  <c:v>12.5</c:v>
                </c:pt>
                <c:pt idx="22">
                  <c:v>13.8</c:v>
                </c:pt>
                <c:pt idx="23">
                  <c:v>15.5</c:v>
                </c:pt>
                <c:pt idx="24">
                  <c:v>16.899999999999999</c:v>
                </c:pt>
                <c:pt idx="25">
                  <c:v>18.100000000000001</c:v>
                </c:pt>
                <c:pt idx="26">
                  <c:v>19.100000000000001</c:v>
                </c:pt>
                <c:pt idx="27">
                  <c:v>20</c:v>
                </c:pt>
                <c:pt idx="28">
                  <c:v>20.8</c:v>
                </c:pt>
                <c:pt idx="29">
                  <c:v>21.4</c:v>
                </c:pt>
                <c:pt idx="30">
                  <c:v>22</c:v>
                </c:pt>
                <c:pt idx="31">
                  <c:v>22.5</c:v>
                </c:pt>
                <c:pt idx="32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33-4A74-BF05-A0FC79D86B0A}"/>
            </c:ext>
          </c:extLst>
        </c:ser>
        <c:ser>
          <c:idx val="1"/>
          <c:order val="1"/>
          <c:tx>
            <c:strRef>
              <c:f>'8. ייצוא לאקסל'!$G$86</c:f>
              <c:strCache>
                <c:ptCount val="1"/>
                <c:pt idx="0">
                  <c:v>carnallite_mass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'8. ייצוא לאקסל'!$Q$87:$Q$119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7.0000000000000009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14.000000000000002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28.000000000000004</c:v>
                </c:pt>
                <c:pt idx="29">
                  <c:v>28.999999999999996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xVal>
          <c:yVal>
            <c:numRef>
              <c:f>'8. ייצוא לאקסל'!$G$87:$G$119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19.600000000000001</c:v>
                </c:pt>
                <c:pt idx="24">
                  <c:v>38.700000000000003</c:v>
                </c:pt>
                <c:pt idx="25">
                  <c:v>53.8</c:v>
                </c:pt>
                <c:pt idx="26">
                  <c:v>67</c:v>
                </c:pt>
                <c:pt idx="27">
                  <c:v>79.099999999999994</c:v>
                </c:pt>
                <c:pt idx="28">
                  <c:v>90.4</c:v>
                </c:pt>
                <c:pt idx="29">
                  <c:v>101</c:v>
                </c:pt>
                <c:pt idx="30">
                  <c:v>112</c:v>
                </c:pt>
                <c:pt idx="31">
                  <c:v>122</c:v>
                </c:pt>
                <c:pt idx="32">
                  <c:v>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33-4A74-BF05-A0FC79D86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177920"/>
        <c:axId val="1555178400"/>
      </c:scatterChart>
      <c:valAx>
        <c:axId val="1555177920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סה"כ אחוז איוד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55178400"/>
        <c:crosses val="autoZero"/>
        <c:crossBetween val="midCat"/>
        <c:majorUnit val="5"/>
      </c:valAx>
      <c:valAx>
        <c:axId val="1555178400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כמות מוצקים, גרם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55177920"/>
        <c:crosses val="autoZero"/>
        <c:crossBetween val="midCat"/>
        <c:majorUnit val="4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846041654880275"/>
          <c:y val="0.1810769517702091"/>
          <c:w val="0.28522393598686147"/>
          <c:h val="0.17900214702101619"/>
        </c:manualLayout>
      </c:layout>
      <c:overlay val="0"/>
      <c:spPr>
        <a:gradFill rotWithShape="1">
          <a:gsLst>
            <a:gs pos="0">
              <a:schemeClr val="accent3">
                <a:lumMod val="110000"/>
                <a:satMod val="105000"/>
                <a:tint val="67000"/>
              </a:schemeClr>
            </a:gs>
            <a:gs pos="50000">
              <a:schemeClr val="accent3">
                <a:lumMod val="105000"/>
                <a:satMod val="103000"/>
                <a:tint val="73000"/>
              </a:schemeClr>
            </a:gs>
            <a:gs pos="100000">
              <a:schemeClr val="accent3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3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sz="1600"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238125</xdr:colOff>
      <xdr:row>1</xdr:row>
      <xdr:rowOff>66675</xdr:rowOff>
    </xdr:from>
    <xdr:ext cx="3972241" cy="164237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77FCB3-1D5F-4ACA-A6AA-13EF00D9D4ED}"/>
            </a:ext>
          </a:extLst>
        </xdr:cNvPr>
        <xdr:cNvSpPr txBox="1"/>
      </xdr:nvSpPr>
      <xdr:spPr>
        <a:xfrm>
          <a:off x="9839325" y="247650"/>
          <a:ext cx="3972241" cy="1642373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none" rtlCol="1" anchor="t">
          <a:spAutoFit/>
        </a:bodyPr>
        <a:lstStyle/>
        <a:p>
          <a:pPr lvl="0" rtl="1"/>
          <a:r>
            <a:rPr lang="he-IL" sz="11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מבוא – התאמת מודל לנתונים (</a:t>
          </a:r>
          <a:r>
            <a:rPr lang="en-US" sz="11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model fitting</a:t>
          </a:r>
          <a:r>
            <a:rPr lang="he-IL" sz="11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 rtl="1"/>
          <a:r>
            <a:rPr lang="he-IL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התאמת פונקציה רציפה לנתונים בדידים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 rtl="1"/>
          <a:r>
            <a:rPr lang="he-IL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דוגמאות לצורך בקורלציה פשוטה: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 rtl="1"/>
          <a:r>
            <a:rPr lang="he-IL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צפיפות וריכוז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 rtl="1"/>
          <a:r>
            <a:rPr lang="he-IL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גרף כיול למשאבה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 rtl="1"/>
          <a:r>
            <a:rPr lang="he-IL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מטרת המצגת: 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 rtl="1"/>
          <a:r>
            <a:rPr lang="he-IL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הכרת רשת נוירונים ככלי אוניברסלי למציאת פונקציית קורלציה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 rtl="1"/>
          <a:r>
            <a:rPr lang="he-IL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הדגמה של שימוש באקסל במשקלים של מודל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 rtl="1"/>
          <a:r>
            <a:rPr lang="he-IL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בלי חלק טכני של מציאת משקלים 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18</xdr:col>
      <xdr:colOff>674076</xdr:colOff>
      <xdr:row>13</xdr:row>
      <xdr:rowOff>104775</xdr:rowOff>
    </xdr:from>
    <xdr:ext cx="2004588" cy="7812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49C03AB-2125-45C3-AC8B-4ACF88CADD6A}"/>
            </a:ext>
          </a:extLst>
        </xdr:cNvPr>
        <xdr:cNvSpPr txBox="1"/>
      </xdr:nvSpPr>
      <xdr:spPr>
        <a:xfrm>
          <a:off x="13018476" y="2457450"/>
          <a:ext cx="2004588" cy="78124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none" rtlCol="1" anchor="ctr">
          <a:spAutoFit/>
        </a:bodyPr>
        <a:lstStyle/>
        <a:p>
          <a:pPr lvl="1" algn="r" rtl="1"/>
          <a:r>
            <a:rPr 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Trendline</a:t>
          </a:r>
        </a:p>
        <a:p>
          <a:pPr lvl="0" algn="r" rtl="1"/>
          <a:r>
            <a:rPr lang="he-I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ליניארי, פולינום, אקספוננט, חזקה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algn="r" rtl="1"/>
          <a:r>
            <a:rPr lang="he-IL" sz="1100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קל לשימוש, מהיר</a:t>
          </a:r>
          <a:endParaRPr lang="en-US" sz="1100">
            <a:solidFill>
              <a:schemeClr val="accent6"/>
            </a:solidFill>
            <a:effectLst/>
            <a:latin typeface="+mn-lt"/>
            <a:ea typeface="+mn-ea"/>
            <a:cs typeface="+mn-cs"/>
          </a:endParaRPr>
        </a:p>
        <a:p>
          <a:pPr lvl="0" algn="r" rtl="1"/>
          <a:r>
            <a:rPr lang="he-IL" sz="110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אין גמישות, משתנה 1 בלבד</a:t>
          </a:r>
          <a:endParaRPr lang="en-US" sz="1100">
            <a:solidFill>
              <a:schemeClr val="accent2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219074</xdr:colOff>
      <xdr:row>13</xdr:row>
      <xdr:rowOff>66674</xdr:rowOff>
    </xdr:from>
    <xdr:to>
      <xdr:col>18</xdr:col>
      <xdr:colOff>609599</xdr:colOff>
      <xdr:row>41</xdr:row>
      <xdr:rowOff>66674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F752EB-8D1C-C17F-1DA9-50348DCE3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285750</xdr:colOff>
      <xdr:row>80</xdr:row>
      <xdr:rowOff>0</xdr:rowOff>
    </xdr:from>
    <xdr:to>
      <xdr:col>18</xdr:col>
      <xdr:colOff>57150</xdr:colOff>
      <xdr:row>100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38DC12-6433-1C2F-221B-A9315461A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16</xdr:col>
      <xdr:colOff>504825</xdr:colOff>
      <xdr:row>29</xdr:row>
      <xdr:rowOff>142874</xdr:rowOff>
    </xdr:from>
    <xdr:ext cx="3535914" cy="42678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6EDC8A2-7D45-9631-04D2-EA01C8305651}"/>
            </a:ext>
          </a:extLst>
        </xdr:cNvPr>
        <xdr:cNvSpPr txBox="1"/>
      </xdr:nvSpPr>
      <xdr:spPr>
        <a:xfrm>
          <a:off x="11477625" y="5400674"/>
          <a:ext cx="3535914" cy="426784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1" anchor="t">
          <a:spAutoFit/>
        </a:bodyPr>
        <a:lstStyle/>
        <a:p>
          <a:pPr lvl="0" rtl="1"/>
          <a:r>
            <a:rPr lang="he-IL" sz="1100" b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בד"כ</a:t>
          </a:r>
          <a:r>
            <a:rPr lang="he-IL" sz="1100" b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יש חשיבות לקבל מודל כמה שיותר קצר, כי נדרש ליישם אותו איפשהו, ואין רצון להעתיק הרבה פרמטרים</a:t>
          </a:r>
          <a:endParaRPr lang="en-US" sz="1100" b="0" u="non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11</xdr:col>
      <xdr:colOff>257174</xdr:colOff>
      <xdr:row>48</xdr:row>
      <xdr:rowOff>161925</xdr:rowOff>
    </xdr:from>
    <xdr:to>
      <xdr:col>18</xdr:col>
      <xdr:colOff>552449</xdr:colOff>
      <xdr:row>71</xdr:row>
      <xdr:rowOff>104775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466B312-66C2-E8BE-0787-A19B42B49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16</xdr:col>
      <xdr:colOff>457200</xdr:colOff>
      <xdr:row>32</xdr:row>
      <xdr:rowOff>142874</xdr:rowOff>
    </xdr:from>
    <xdr:ext cx="3612114" cy="58900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B50F47C-D00B-0954-C7E3-835EBCCD18F2}"/>
            </a:ext>
          </a:extLst>
        </xdr:cNvPr>
        <xdr:cNvSpPr txBox="1"/>
      </xdr:nvSpPr>
      <xdr:spPr>
        <a:xfrm>
          <a:off x="11430000" y="5943599"/>
          <a:ext cx="3612114" cy="589007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1" anchor="t">
          <a:spAutoFit/>
        </a:bodyPr>
        <a:lstStyle/>
        <a:p>
          <a:pPr lvl="0" rtl="1"/>
          <a:r>
            <a:rPr lang="he-IL" sz="1100" b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בעיות של קירוב</a:t>
          </a:r>
          <a:r>
            <a:rPr lang="he-IL" sz="1100" b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ע"י פולימר:</a:t>
          </a:r>
        </a:p>
        <a:p>
          <a:pPr lvl="0" rtl="1"/>
          <a:r>
            <a:rPr lang="he-IL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במעלה גבוהה </a:t>
          </a:r>
          <a:r>
            <a:rPr lang="he-IL" sz="1100" b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נוטה ללמידת-יתר</a:t>
          </a:r>
        </a:p>
        <a:p>
          <a:pPr lvl="0" rtl="1"/>
          <a:r>
            <a:rPr lang="he-IL" sz="1100" b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פונקציה</a:t>
          </a:r>
          <a:r>
            <a:rPr lang="he-IL" sz="1100" b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לא מונוטונית. סיכוי לבעיות התכנסות באקסטרפולציה</a:t>
          </a:r>
          <a:endParaRPr lang="en-US" sz="1100" b="0" u="non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15</xdr:col>
      <xdr:colOff>324141</xdr:colOff>
      <xdr:row>71</xdr:row>
      <xdr:rowOff>133350</xdr:rowOff>
    </xdr:from>
    <xdr:ext cx="4247958" cy="147014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4496256-C63A-FC05-5C9C-1237EEAA00BB}"/>
            </a:ext>
          </a:extLst>
        </xdr:cNvPr>
        <xdr:cNvSpPr txBox="1"/>
      </xdr:nvSpPr>
      <xdr:spPr>
        <a:xfrm>
          <a:off x="10611141" y="13544550"/>
          <a:ext cx="4247958" cy="1470146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none" rtlCol="1" anchor="t">
          <a:spAutoFit/>
        </a:bodyPr>
        <a:lstStyle/>
        <a:p>
          <a:pPr lvl="1" rtl="1"/>
          <a:r>
            <a:rPr 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Solver</a:t>
          </a:r>
        </a:p>
        <a:p>
          <a:pPr lvl="0" rtl="1"/>
          <a:r>
            <a:rPr lang="he-I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צעדים: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 rtl="1"/>
          <a:r>
            <a:rPr lang="he-I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סידור משתנה תלוי כקומבינציה ליניארית של פולינום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 rtl="1"/>
          <a:r>
            <a:rPr lang="he-I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פרמטרים התחלתיים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 rtl="1"/>
          <a:r>
            <a:rPr lang="he-I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חישוב סכום שגיאות בין תוצאות חישובים ראשוניים ומשתנים תלויים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 rtl="1"/>
          <a:r>
            <a:rPr lang="he-I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הפעלת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solver</a:t>
          </a:r>
          <a:r>
            <a:rPr lang="he-I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למציאת פרמטרים המביאים לשגיאה מינימלית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rtl="1"/>
          <a:r>
            <a:rPr lang="he-IL" sz="1100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גמישות, מספר מתנים</a:t>
          </a:r>
          <a:endParaRPr lang="en-US" sz="1100">
            <a:solidFill>
              <a:schemeClr val="accent6"/>
            </a:solidFill>
            <a:effectLst/>
            <a:latin typeface="+mn-lt"/>
            <a:ea typeface="+mn-ea"/>
            <a:cs typeface="+mn-cs"/>
          </a:endParaRPr>
        </a:p>
        <a:p>
          <a:pPr lvl="0" rtl="1"/>
          <a:r>
            <a:rPr lang="he-IL" sz="110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עבודה ידנית, קופסה שחורה, לא תמיד מתכנס</a:t>
          </a:r>
          <a:endParaRPr lang="en-US" sz="1100">
            <a:solidFill>
              <a:schemeClr val="accent2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0</xdr:row>
      <xdr:rowOff>19050</xdr:rowOff>
    </xdr:from>
    <xdr:to>
      <xdr:col>11</xdr:col>
      <xdr:colOff>630157</xdr:colOff>
      <xdr:row>21</xdr:row>
      <xdr:rowOff>47368</xdr:rowOff>
    </xdr:to>
    <xdr:grpSp>
      <xdr:nvGrpSpPr>
        <xdr:cNvPr id="217" name="Group 216">
          <a:extLst>
            <a:ext uri="{FF2B5EF4-FFF2-40B4-BE49-F238E27FC236}">
              <a16:creationId xmlns:a16="http://schemas.microsoft.com/office/drawing/2014/main" id="{19E8E020-EEDA-F2B9-8C25-E811AF6659EA}"/>
            </a:ext>
          </a:extLst>
        </xdr:cNvPr>
        <xdr:cNvGrpSpPr/>
      </xdr:nvGrpSpPr>
      <xdr:grpSpPr>
        <a:xfrm>
          <a:off x="2686050" y="19050"/>
          <a:ext cx="5487907" cy="3838318"/>
          <a:chOff x="1109684" y="1011483"/>
          <a:chExt cx="5487907" cy="3828793"/>
        </a:xfrm>
      </xdr:grpSpPr>
      <xdr:sp macro="" textlink="">
        <xdr:nvSpPr>
          <xdr:cNvPr id="218" name="Rectangle 217">
            <a:extLst>
              <a:ext uri="{FF2B5EF4-FFF2-40B4-BE49-F238E27FC236}">
                <a16:creationId xmlns:a16="http://schemas.microsoft.com/office/drawing/2014/main" id="{3B649685-C08B-8219-9758-F6CFDEBDDFE4}"/>
              </a:ext>
            </a:extLst>
          </xdr:cNvPr>
          <xdr:cNvSpPr/>
        </xdr:nvSpPr>
        <xdr:spPr>
          <a:xfrm>
            <a:off x="2904905" y="1839620"/>
            <a:ext cx="680484" cy="542261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/>
              <a:t>f</a:t>
            </a:r>
            <a:endParaRPr lang="he-IL"/>
          </a:p>
        </xdr:txBody>
      </xdr:sp>
      <xdr:sp macro="" textlink="">
        <xdr:nvSpPr>
          <xdr:cNvPr id="219" name="Oval 218">
            <a:extLst>
              <a:ext uri="{FF2B5EF4-FFF2-40B4-BE49-F238E27FC236}">
                <a16:creationId xmlns:a16="http://schemas.microsoft.com/office/drawing/2014/main" id="{363F0299-B871-6371-E907-95C32DE17566}"/>
              </a:ext>
            </a:extLst>
          </xdr:cNvPr>
          <xdr:cNvSpPr/>
        </xdr:nvSpPr>
        <xdr:spPr>
          <a:xfrm>
            <a:off x="1109684" y="2381881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20" name="Oval 219">
            <a:extLst>
              <a:ext uri="{FF2B5EF4-FFF2-40B4-BE49-F238E27FC236}">
                <a16:creationId xmlns:a16="http://schemas.microsoft.com/office/drawing/2014/main" id="{A68EA94B-1F9E-3A43-0BDD-C60A73902C09}"/>
              </a:ext>
            </a:extLst>
          </xdr:cNvPr>
          <xdr:cNvSpPr/>
        </xdr:nvSpPr>
        <xdr:spPr>
          <a:xfrm>
            <a:off x="1109684" y="2356849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21" name="Oval 220">
            <a:extLst>
              <a:ext uri="{FF2B5EF4-FFF2-40B4-BE49-F238E27FC236}">
                <a16:creationId xmlns:a16="http://schemas.microsoft.com/office/drawing/2014/main" id="{F29372A3-9F0A-7D77-24C4-E71ED5F79FF9}"/>
              </a:ext>
            </a:extLst>
          </xdr:cNvPr>
          <xdr:cNvSpPr/>
        </xdr:nvSpPr>
        <xdr:spPr>
          <a:xfrm>
            <a:off x="1109684" y="2331817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22" name="Oval 221">
            <a:extLst>
              <a:ext uri="{FF2B5EF4-FFF2-40B4-BE49-F238E27FC236}">
                <a16:creationId xmlns:a16="http://schemas.microsoft.com/office/drawing/2014/main" id="{BFA4C920-0CC4-21AE-BB92-CFD4C8C4FD74}"/>
              </a:ext>
            </a:extLst>
          </xdr:cNvPr>
          <xdr:cNvSpPr/>
        </xdr:nvSpPr>
        <xdr:spPr>
          <a:xfrm>
            <a:off x="1109684" y="2306785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23" name="Oval 222">
            <a:extLst>
              <a:ext uri="{FF2B5EF4-FFF2-40B4-BE49-F238E27FC236}">
                <a16:creationId xmlns:a16="http://schemas.microsoft.com/office/drawing/2014/main" id="{8757D5E6-7C62-1765-D1AD-22B23105E87B}"/>
              </a:ext>
            </a:extLst>
          </xdr:cNvPr>
          <xdr:cNvSpPr/>
        </xdr:nvSpPr>
        <xdr:spPr>
          <a:xfrm>
            <a:off x="1109684" y="2281753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24" name="Oval 223">
            <a:extLst>
              <a:ext uri="{FF2B5EF4-FFF2-40B4-BE49-F238E27FC236}">
                <a16:creationId xmlns:a16="http://schemas.microsoft.com/office/drawing/2014/main" id="{4A9993A6-D047-2955-0946-794B555C789D}"/>
              </a:ext>
            </a:extLst>
          </xdr:cNvPr>
          <xdr:cNvSpPr/>
        </xdr:nvSpPr>
        <xdr:spPr>
          <a:xfrm>
            <a:off x="1109684" y="2256721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25" name="Oval 224">
            <a:extLst>
              <a:ext uri="{FF2B5EF4-FFF2-40B4-BE49-F238E27FC236}">
                <a16:creationId xmlns:a16="http://schemas.microsoft.com/office/drawing/2014/main" id="{E48B6070-21E2-4260-A129-28DA695A2B76}"/>
              </a:ext>
            </a:extLst>
          </xdr:cNvPr>
          <xdr:cNvSpPr/>
        </xdr:nvSpPr>
        <xdr:spPr>
          <a:xfrm>
            <a:off x="1109684" y="2231689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26" name="Oval 225">
            <a:extLst>
              <a:ext uri="{FF2B5EF4-FFF2-40B4-BE49-F238E27FC236}">
                <a16:creationId xmlns:a16="http://schemas.microsoft.com/office/drawing/2014/main" id="{13BF03A2-B926-FA09-D439-02F11BEB55CF}"/>
              </a:ext>
            </a:extLst>
          </xdr:cNvPr>
          <xdr:cNvSpPr/>
        </xdr:nvSpPr>
        <xdr:spPr>
          <a:xfrm>
            <a:off x="1109684" y="2206657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27" name="Oval 226">
            <a:extLst>
              <a:ext uri="{FF2B5EF4-FFF2-40B4-BE49-F238E27FC236}">
                <a16:creationId xmlns:a16="http://schemas.microsoft.com/office/drawing/2014/main" id="{416C1006-1718-2E1E-CBC0-60A4E88FB186}"/>
              </a:ext>
            </a:extLst>
          </xdr:cNvPr>
          <xdr:cNvSpPr/>
        </xdr:nvSpPr>
        <xdr:spPr>
          <a:xfrm>
            <a:off x="1109684" y="2181625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28" name="Oval 227">
            <a:extLst>
              <a:ext uri="{FF2B5EF4-FFF2-40B4-BE49-F238E27FC236}">
                <a16:creationId xmlns:a16="http://schemas.microsoft.com/office/drawing/2014/main" id="{6C9448EF-74F4-8A44-F243-65073BCEF8BD}"/>
              </a:ext>
            </a:extLst>
          </xdr:cNvPr>
          <xdr:cNvSpPr/>
        </xdr:nvSpPr>
        <xdr:spPr>
          <a:xfrm>
            <a:off x="1109684" y="2156593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29" name="Oval 228">
            <a:extLst>
              <a:ext uri="{FF2B5EF4-FFF2-40B4-BE49-F238E27FC236}">
                <a16:creationId xmlns:a16="http://schemas.microsoft.com/office/drawing/2014/main" id="{600B7335-05AF-13D3-5CC5-45F255474DD9}"/>
              </a:ext>
            </a:extLst>
          </xdr:cNvPr>
          <xdr:cNvSpPr/>
        </xdr:nvSpPr>
        <xdr:spPr>
          <a:xfrm>
            <a:off x="1109684" y="2131561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30" name="Oval 229">
            <a:extLst>
              <a:ext uri="{FF2B5EF4-FFF2-40B4-BE49-F238E27FC236}">
                <a16:creationId xmlns:a16="http://schemas.microsoft.com/office/drawing/2014/main" id="{A3D728DA-4F07-C606-B727-F7A55ACF8C8E}"/>
              </a:ext>
            </a:extLst>
          </xdr:cNvPr>
          <xdr:cNvSpPr/>
        </xdr:nvSpPr>
        <xdr:spPr>
          <a:xfrm>
            <a:off x="1109684" y="2106529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31" name="Oval 230">
            <a:extLst>
              <a:ext uri="{FF2B5EF4-FFF2-40B4-BE49-F238E27FC236}">
                <a16:creationId xmlns:a16="http://schemas.microsoft.com/office/drawing/2014/main" id="{28B4E45F-F4DD-BFD0-E027-5434A212FC40}"/>
              </a:ext>
            </a:extLst>
          </xdr:cNvPr>
          <xdr:cNvSpPr/>
        </xdr:nvSpPr>
        <xdr:spPr>
          <a:xfrm>
            <a:off x="1109684" y="2081497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/>
              <a:t>-2</a:t>
            </a:r>
            <a:endParaRPr lang="he-IL"/>
          </a:p>
        </xdr:txBody>
      </xdr:sp>
      <xdr:sp macro="" textlink="">
        <xdr:nvSpPr>
          <xdr:cNvPr id="232" name="Rectangle 231">
            <a:extLst>
              <a:ext uri="{FF2B5EF4-FFF2-40B4-BE49-F238E27FC236}">
                <a16:creationId xmlns:a16="http://schemas.microsoft.com/office/drawing/2014/main" id="{DB97EA60-8898-E567-8AC0-0093CFCC0B0A}"/>
              </a:ext>
            </a:extLst>
          </xdr:cNvPr>
          <xdr:cNvSpPr/>
        </xdr:nvSpPr>
        <xdr:spPr>
          <a:xfrm>
            <a:off x="3904722" y="1839620"/>
            <a:ext cx="680484" cy="542261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/>
              <a:t>f^2</a:t>
            </a:r>
            <a:endParaRPr lang="he-IL"/>
          </a:p>
        </xdr:txBody>
      </xdr:sp>
      <xdr:sp macro="" textlink="">
        <xdr:nvSpPr>
          <xdr:cNvPr id="233" name="Rectangle 232">
            <a:extLst>
              <a:ext uri="{FF2B5EF4-FFF2-40B4-BE49-F238E27FC236}">
                <a16:creationId xmlns:a16="http://schemas.microsoft.com/office/drawing/2014/main" id="{ACCE2DA1-DDB6-0F56-8B9B-711C2B2F1981}"/>
              </a:ext>
            </a:extLst>
          </xdr:cNvPr>
          <xdr:cNvSpPr/>
        </xdr:nvSpPr>
        <xdr:spPr>
          <a:xfrm>
            <a:off x="2904905" y="2937205"/>
            <a:ext cx="680484" cy="542261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/>
              <a:t>f</a:t>
            </a:r>
            <a:endParaRPr lang="he-IL"/>
          </a:p>
        </xdr:txBody>
      </xdr:sp>
      <xdr:sp macro="" textlink="">
        <xdr:nvSpPr>
          <xdr:cNvPr id="234" name="Rectangle 233">
            <a:extLst>
              <a:ext uri="{FF2B5EF4-FFF2-40B4-BE49-F238E27FC236}">
                <a16:creationId xmlns:a16="http://schemas.microsoft.com/office/drawing/2014/main" id="{78B36949-4821-2F9E-5F92-246D8EE552BB}"/>
              </a:ext>
            </a:extLst>
          </xdr:cNvPr>
          <xdr:cNvSpPr/>
        </xdr:nvSpPr>
        <xdr:spPr>
          <a:xfrm>
            <a:off x="3904722" y="2937205"/>
            <a:ext cx="680484" cy="542261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/>
              <a:t>f</a:t>
            </a:r>
            <a:endParaRPr lang="he-IL"/>
          </a:p>
        </xdr:txBody>
      </xdr:sp>
      <xdr:sp macro="" textlink="">
        <xdr:nvSpPr>
          <xdr:cNvPr id="235" name="Rectangle 234">
            <a:extLst>
              <a:ext uri="{FF2B5EF4-FFF2-40B4-BE49-F238E27FC236}">
                <a16:creationId xmlns:a16="http://schemas.microsoft.com/office/drawing/2014/main" id="{270F7779-00A9-9DC0-8532-DC0D20C6754F}"/>
              </a:ext>
            </a:extLst>
          </xdr:cNvPr>
          <xdr:cNvSpPr/>
        </xdr:nvSpPr>
        <xdr:spPr>
          <a:xfrm>
            <a:off x="3904722" y="4034790"/>
            <a:ext cx="680484" cy="542261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/>
              <a:t>1</a:t>
            </a:r>
            <a:endParaRPr lang="he-IL"/>
          </a:p>
        </xdr:txBody>
      </xdr:sp>
      <xdr:sp macro="" textlink="">
        <xdr:nvSpPr>
          <xdr:cNvPr id="236" name="Oval 235">
            <a:extLst>
              <a:ext uri="{FF2B5EF4-FFF2-40B4-BE49-F238E27FC236}">
                <a16:creationId xmlns:a16="http://schemas.microsoft.com/office/drawing/2014/main" id="{A9C2F73B-639F-C88B-BBDF-46F04AF5D229}"/>
              </a:ext>
            </a:extLst>
          </xdr:cNvPr>
          <xdr:cNvSpPr/>
        </xdr:nvSpPr>
        <xdr:spPr>
          <a:xfrm>
            <a:off x="5755758" y="2887141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37" name="Oval 236">
            <a:extLst>
              <a:ext uri="{FF2B5EF4-FFF2-40B4-BE49-F238E27FC236}">
                <a16:creationId xmlns:a16="http://schemas.microsoft.com/office/drawing/2014/main" id="{2EDD169C-76B8-6C29-860D-73BCFB55DA93}"/>
              </a:ext>
            </a:extLst>
          </xdr:cNvPr>
          <xdr:cNvSpPr/>
        </xdr:nvSpPr>
        <xdr:spPr>
          <a:xfrm>
            <a:off x="5755758" y="2862109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38" name="Oval 237">
            <a:extLst>
              <a:ext uri="{FF2B5EF4-FFF2-40B4-BE49-F238E27FC236}">
                <a16:creationId xmlns:a16="http://schemas.microsoft.com/office/drawing/2014/main" id="{2AC83720-A4F9-7110-563D-F6FC985F96C1}"/>
              </a:ext>
            </a:extLst>
          </xdr:cNvPr>
          <xdr:cNvSpPr/>
        </xdr:nvSpPr>
        <xdr:spPr>
          <a:xfrm>
            <a:off x="5755758" y="2837077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39" name="Oval 238">
            <a:extLst>
              <a:ext uri="{FF2B5EF4-FFF2-40B4-BE49-F238E27FC236}">
                <a16:creationId xmlns:a16="http://schemas.microsoft.com/office/drawing/2014/main" id="{FD571584-B0FA-D287-AA54-16256AEF0367}"/>
              </a:ext>
            </a:extLst>
          </xdr:cNvPr>
          <xdr:cNvSpPr/>
        </xdr:nvSpPr>
        <xdr:spPr>
          <a:xfrm>
            <a:off x="5755758" y="2812045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40" name="Oval 239">
            <a:extLst>
              <a:ext uri="{FF2B5EF4-FFF2-40B4-BE49-F238E27FC236}">
                <a16:creationId xmlns:a16="http://schemas.microsoft.com/office/drawing/2014/main" id="{0952D728-6F25-A063-29D0-219B8DDD2D51}"/>
              </a:ext>
            </a:extLst>
          </xdr:cNvPr>
          <xdr:cNvSpPr/>
        </xdr:nvSpPr>
        <xdr:spPr>
          <a:xfrm>
            <a:off x="5755758" y="2787013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41" name="Oval 240">
            <a:extLst>
              <a:ext uri="{FF2B5EF4-FFF2-40B4-BE49-F238E27FC236}">
                <a16:creationId xmlns:a16="http://schemas.microsoft.com/office/drawing/2014/main" id="{E2094964-9537-E5D5-1EFD-B96B971A61CA}"/>
              </a:ext>
            </a:extLst>
          </xdr:cNvPr>
          <xdr:cNvSpPr/>
        </xdr:nvSpPr>
        <xdr:spPr>
          <a:xfrm>
            <a:off x="5755758" y="2761981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42" name="Oval 241">
            <a:extLst>
              <a:ext uri="{FF2B5EF4-FFF2-40B4-BE49-F238E27FC236}">
                <a16:creationId xmlns:a16="http://schemas.microsoft.com/office/drawing/2014/main" id="{2802D866-7E7D-61B8-D62A-776811FCD0FC}"/>
              </a:ext>
            </a:extLst>
          </xdr:cNvPr>
          <xdr:cNvSpPr/>
        </xdr:nvSpPr>
        <xdr:spPr>
          <a:xfrm>
            <a:off x="5755758" y="2736949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43" name="Oval 242">
            <a:extLst>
              <a:ext uri="{FF2B5EF4-FFF2-40B4-BE49-F238E27FC236}">
                <a16:creationId xmlns:a16="http://schemas.microsoft.com/office/drawing/2014/main" id="{98E3DF8B-CECF-7F74-62CC-188559998CCA}"/>
              </a:ext>
            </a:extLst>
          </xdr:cNvPr>
          <xdr:cNvSpPr/>
        </xdr:nvSpPr>
        <xdr:spPr>
          <a:xfrm>
            <a:off x="5755758" y="2711917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44" name="Oval 243">
            <a:extLst>
              <a:ext uri="{FF2B5EF4-FFF2-40B4-BE49-F238E27FC236}">
                <a16:creationId xmlns:a16="http://schemas.microsoft.com/office/drawing/2014/main" id="{7580B36A-2F10-04AD-6591-FBBB2C5FA707}"/>
              </a:ext>
            </a:extLst>
          </xdr:cNvPr>
          <xdr:cNvSpPr/>
        </xdr:nvSpPr>
        <xdr:spPr>
          <a:xfrm>
            <a:off x="5755758" y="2686885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45" name="Oval 244">
            <a:extLst>
              <a:ext uri="{FF2B5EF4-FFF2-40B4-BE49-F238E27FC236}">
                <a16:creationId xmlns:a16="http://schemas.microsoft.com/office/drawing/2014/main" id="{1EED9F9B-E0FA-DB38-999E-D708FF1BD30E}"/>
              </a:ext>
            </a:extLst>
          </xdr:cNvPr>
          <xdr:cNvSpPr/>
        </xdr:nvSpPr>
        <xdr:spPr>
          <a:xfrm>
            <a:off x="5755758" y="2661853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46" name="Oval 245">
            <a:extLst>
              <a:ext uri="{FF2B5EF4-FFF2-40B4-BE49-F238E27FC236}">
                <a16:creationId xmlns:a16="http://schemas.microsoft.com/office/drawing/2014/main" id="{4CF09205-3913-05EF-8B08-BF71B446969B}"/>
              </a:ext>
            </a:extLst>
          </xdr:cNvPr>
          <xdr:cNvSpPr/>
        </xdr:nvSpPr>
        <xdr:spPr>
          <a:xfrm>
            <a:off x="5755758" y="2636821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47" name="Oval 246">
            <a:extLst>
              <a:ext uri="{FF2B5EF4-FFF2-40B4-BE49-F238E27FC236}">
                <a16:creationId xmlns:a16="http://schemas.microsoft.com/office/drawing/2014/main" id="{B601868C-1C40-EFF8-E5F4-9CDFB55C1673}"/>
              </a:ext>
            </a:extLst>
          </xdr:cNvPr>
          <xdr:cNvSpPr/>
        </xdr:nvSpPr>
        <xdr:spPr>
          <a:xfrm>
            <a:off x="5755758" y="2611789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he-IL"/>
          </a:p>
        </xdr:txBody>
      </xdr:sp>
      <xdr:sp macro="" textlink="">
        <xdr:nvSpPr>
          <xdr:cNvPr id="248" name="Oval 247">
            <a:extLst>
              <a:ext uri="{FF2B5EF4-FFF2-40B4-BE49-F238E27FC236}">
                <a16:creationId xmlns:a16="http://schemas.microsoft.com/office/drawing/2014/main" id="{A32C5219-6537-A8AE-AED4-F5A536924492}"/>
              </a:ext>
            </a:extLst>
          </xdr:cNvPr>
          <xdr:cNvSpPr/>
        </xdr:nvSpPr>
        <xdr:spPr>
          <a:xfrm>
            <a:off x="5755758" y="2586757"/>
            <a:ext cx="680484" cy="680484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/>
              <a:t>-12</a:t>
            </a:r>
            <a:endParaRPr lang="he-IL"/>
          </a:p>
        </xdr:txBody>
      </xdr:sp>
      <xdr:cxnSp macro="">
        <xdr:nvCxnSpPr>
          <xdr:cNvPr id="249" name="Straight Arrow Connector 248">
            <a:extLst>
              <a:ext uri="{FF2B5EF4-FFF2-40B4-BE49-F238E27FC236}">
                <a16:creationId xmlns:a16="http://schemas.microsoft.com/office/drawing/2014/main" id="{03119A66-0A5C-7D0F-0409-92062114C061}"/>
              </a:ext>
            </a:extLst>
          </xdr:cNvPr>
          <xdr:cNvCxnSpPr/>
        </xdr:nvCxnSpPr>
        <xdr:spPr>
          <a:xfrm flipV="1">
            <a:off x="1967023" y="2156593"/>
            <a:ext cx="808075" cy="340242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0" name="Straight Arrow Connector 249">
            <a:extLst>
              <a:ext uri="{FF2B5EF4-FFF2-40B4-BE49-F238E27FC236}">
                <a16:creationId xmlns:a16="http://schemas.microsoft.com/office/drawing/2014/main" id="{99D8A378-599F-2878-CBFE-0CC952E58F6B}"/>
              </a:ext>
            </a:extLst>
          </xdr:cNvPr>
          <xdr:cNvCxnSpPr/>
        </xdr:nvCxnSpPr>
        <xdr:spPr>
          <a:xfrm>
            <a:off x="1935126" y="2661853"/>
            <a:ext cx="818707" cy="490434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1" name="Straight Connector 250">
            <a:extLst>
              <a:ext uri="{FF2B5EF4-FFF2-40B4-BE49-F238E27FC236}">
                <a16:creationId xmlns:a16="http://schemas.microsoft.com/office/drawing/2014/main" id="{1051445C-E520-C239-AC27-E1FB8B8EC2DA}"/>
              </a:ext>
            </a:extLst>
          </xdr:cNvPr>
          <xdr:cNvCxnSpPr>
            <a:stCxn id="218" idx="3"/>
            <a:endCxn id="232" idx="1"/>
          </xdr:cNvCxnSpPr>
        </xdr:nvCxnSpPr>
        <xdr:spPr>
          <a:xfrm>
            <a:off x="3585389" y="2110751"/>
            <a:ext cx="319333" cy="0"/>
          </a:xfrm>
          <a:prstGeom prst="line">
            <a:avLst/>
          </a:prstGeom>
          <a:ln w="571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2" name="Straight Connector 251">
            <a:extLst>
              <a:ext uri="{FF2B5EF4-FFF2-40B4-BE49-F238E27FC236}">
                <a16:creationId xmlns:a16="http://schemas.microsoft.com/office/drawing/2014/main" id="{6487E705-7D42-8509-DC3E-9A6294B67572}"/>
              </a:ext>
            </a:extLst>
          </xdr:cNvPr>
          <xdr:cNvCxnSpPr>
            <a:stCxn id="233" idx="3"/>
            <a:endCxn id="234" idx="1"/>
          </xdr:cNvCxnSpPr>
        </xdr:nvCxnSpPr>
        <xdr:spPr>
          <a:xfrm>
            <a:off x="3585389" y="3208336"/>
            <a:ext cx="319333" cy="0"/>
          </a:xfrm>
          <a:prstGeom prst="line">
            <a:avLst/>
          </a:prstGeom>
          <a:ln w="57150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3" name="Straight Arrow Connector 252">
            <a:extLst>
              <a:ext uri="{FF2B5EF4-FFF2-40B4-BE49-F238E27FC236}">
                <a16:creationId xmlns:a16="http://schemas.microsoft.com/office/drawing/2014/main" id="{632240E0-08A0-1C44-0FB0-701AC2A9CC02}"/>
              </a:ext>
            </a:extLst>
          </xdr:cNvPr>
          <xdr:cNvCxnSpPr/>
        </xdr:nvCxnSpPr>
        <xdr:spPr>
          <a:xfrm flipV="1">
            <a:off x="1790168" y="2356849"/>
            <a:ext cx="984930" cy="1110648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4" name="Straight Arrow Connector 253">
            <a:extLst>
              <a:ext uri="{FF2B5EF4-FFF2-40B4-BE49-F238E27FC236}">
                <a16:creationId xmlns:a16="http://schemas.microsoft.com/office/drawing/2014/main" id="{7D96A381-D756-0A11-1304-AF3E97B90B22}"/>
              </a:ext>
            </a:extLst>
          </xdr:cNvPr>
          <xdr:cNvCxnSpPr/>
        </xdr:nvCxnSpPr>
        <xdr:spPr>
          <a:xfrm flipV="1">
            <a:off x="1935126" y="3317305"/>
            <a:ext cx="818707" cy="225288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5" name="Straight Arrow Connector 254">
            <a:extLst>
              <a:ext uri="{FF2B5EF4-FFF2-40B4-BE49-F238E27FC236}">
                <a16:creationId xmlns:a16="http://schemas.microsoft.com/office/drawing/2014/main" id="{B7D96811-4D77-53ED-6689-EA6549C6EF9C}"/>
              </a:ext>
            </a:extLst>
          </xdr:cNvPr>
          <xdr:cNvCxnSpPr>
            <a:cxnSpLocks/>
          </xdr:cNvCxnSpPr>
        </xdr:nvCxnSpPr>
        <xdr:spPr>
          <a:xfrm>
            <a:off x="4731488" y="2231689"/>
            <a:ext cx="871870" cy="655452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6" name="Straight Arrow Connector 255">
            <a:extLst>
              <a:ext uri="{FF2B5EF4-FFF2-40B4-BE49-F238E27FC236}">
                <a16:creationId xmlns:a16="http://schemas.microsoft.com/office/drawing/2014/main" id="{FB2E9BBC-4C45-D929-D519-F8A5E164C2C1}"/>
              </a:ext>
            </a:extLst>
          </xdr:cNvPr>
          <xdr:cNvCxnSpPr/>
        </xdr:nvCxnSpPr>
        <xdr:spPr>
          <a:xfrm>
            <a:off x="4752753" y="3227383"/>
            <a:ext cx="850605" cy="0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7" name="Straight Arrow Connector 256">
            <a:extLst>
              <a:ext uri="{FF2B5EF4-FFF2-40B4-BE49-F238E27FC236}">
                <a16:creationId xmlns:a16="http://schemas.microsoft.com/office/drawing/2014/main" id="{9A2CB9D9-6612-4816-DC05-28EEFEE1FA69}"/>
              </a:ext>
            </a:extLst>
          </xdr:cNvPr>
          <xdr:cNvCxnSpPr/>
        </xdr:nvCxnSpPr>
        <xdr:spPr>
          <a:xfrm flipV="1">
            <a:off x="4731488" y="3479466"/>
            <a:ext cx="925033" cy="709762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8" name="Rectangle 257">
            <a:extLst>
              <a:ext uri="{FF2B5EF4-FFF2-40B4-BE49-F238E27FC236}">
                <a16:creationId xmlns:a16="http://schemas.microsoft.com/office/drawing/2014/main" id="{CA06CE2B-93FB-4C59-B727-6601B2298973}"/>
              </a:ext>
            </a:extLst>
          </xdr:cNvPr>
          <xdr:cNvSpPr/>
        </xdr:nvSpPr>
        <xdr:spPr>
          <a:xfrm>
            <a:off x="1109684" y="3563216"/>
            <a:ext cx="680484" cy="542261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1" anchor="ctr"/>
          <a:lstStyle>
            <a:defPPr>
              <a:defRPr lang="he-IL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/>
              <a:t>1</a:t>
            </a:r>
            <a:endParaRPr lang="he-IL"/>
          </a:p>
        </xdr:txBody>
      </xdr:sp>
      <xdr:sp macro="" textlink="">
        <xdr:nvSpPr>
          <xdr:cNvPr id="259" name="TextBox 51">
            <a:extLst>
              <a:ext uri="{FF2B5EF4-FFF2-40B4-BE49-F238E27FC236}">
                <a16:creationId xmlns:a16="http://schemas.microsoft.com/office/drawing/2014/main" id="{7C2AD16E-E0AD-B8D8-4339-DF92363FCB5F}"/>
              </a:ext>
            </a:extLst>
          </xdr:cNvPr>
          <xdr:cNvSpPr txBox="1"/>
        </xdr:nvSpPr>
        <xdr:spPr>
          <a:xfrm>
            <a:off x="1109684" y="1668237"/>
            <a:ext cx="699230" cy="369332"/>
          </a:xfrm>
          <a:prstGeom prst="rect">
            <a:avLst/>
          </a:prstGeom>
          <a:noFill/>
        </xdr:spPr>
        <xdr:txBody>
          <a:bodyPr wrap="square" rtlCol="1">
            <a:spAutoFit/>
          </a:bodyPr>
          <a:lstStyle>
            <a:defPPr>
              <a:defRPr lang="he-IL"/>
            </a:defPPr>
            <a:lvl1pPr marL="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/>
              <a:t>input</a:t>
            </a:r>
            <a:endParaRPr lang="he-IL"/>
          </a:p>
        </xdr:txBody>
      </xdr:sp>
      <xdr:sp macro="" textlink="">
        <xdr:nvSpPr>
          <xdr:cNvPr id="260" name="TextBox 52">
            <a:extLst>
              <a:ext uri="{FF2B5EF4-FFF2-40B4-BE49-F238E27FC236}">
                <a16:creationId xmlns:a16="http://schemas.microsoft.com/office/drawing/2014/main" id="{79B71DFB-840A-8CDB-0F14-B5B04C46A720}"/>
              </a:ext>
            </a:extLst>
          </xdr:cNvPr>
          <xdr:cNvSpPr txBox="1"/>
        </xdr:nvSpPr>
        <xdr:spPr>
          <a:xfrm>
            <a:off x="5749282" y="1668237"/>
            <a:ext cx="848309" cy="369332"/>
          </a:xfrm>
          <a:prstGeom prst="rect">
            <a:avLst/>
          </a:prstGeom>
          <a:noFill/>
        </xdr:spPr>
        <xdr:txBody>
          <a:bodyPr wrap="square" rtlCol="1">
            <a:spAutoFit/>
          </a:bodyPr>
          <a:lstStyle>
            <a:defPPr>
              <a:defRPr lang="he-IL"/>
            </a:defPPr>
            <a:lvl1pPr marL="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/>
              <a:t>output</a:t>
            </a:r>
            <a:endParaRPr lang="he-IL"/>
          </a:p>
        </xdr:txBody>
      </xdr:sp>
      <xdr:sp macro="" textlink="">
        <xdr:nvSpPr>
          <xdr:cNvPr id="261" name="TextBox 54">
            <a:extLst>
              <a:ext uri="{FF2B5EF4-FFF2-40B4-BE49-F238E27FC236}">
                <a16:creationId xmlns:a16="http://schemas.microsoft.com/office/drawing/2014/main" id="{1608A099-053D-5E74-B226-65D04AF1AD3F}"/>
              </a:ext>
            </a:extLst>
          </xdr:cNvPr>
          <xdr:cNvSpPr txBox="1"/>
        </xdr:nvSpPr>
        <xdr:spPr>
          <a:xfrm>
            <a:off x="2640494" y="4470944"/>
            <a:ext cx="604653" cy="369332"/>
          </a:xfrm>
          <a:prstGeom prst="rect">
            <a:avLst/>
          </a:prstGeom>
          <a:noFill/>
        </xdr:spPr>
        <xdr:txBody>
          <a:bodyPr wrap="square" rtlCol="1">
            <a:spAutoFit/>
          </a:bodyPr>
          <a:lstStyle>
            <a:defPPr>
              <a:defRPr lang="he-IL"/>
            </a:defPPr>
            <a:lvl1pPr marL="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/>
              <a:t>bias</a:t>
            </a:r>
            <a:endParaRPr lang="he-IL"/>
          </a:p>
        </xdr:txBody>
      </xdr:sp>
      <xdr:sp macro="" textlink="">
        <xdr:nvSpPr>
          <xdr:cNvPr id="262" name="TextBox 56">
            <a:extLst>
              <a:ext uri="{FF2B5EF4-FFF2-40B4-BE49-F238E27FC236}">
                <a16:creationId xmlns:a16="http://schemas.microsoft.com/office/drawing/2014/main" id="{AB2AB35C-19D3-8243-EC39-B3B28AEBF865}"/>
              </a:ext>
            </a:extLst>
          </xdr:cNvPr>
          <xdr:cNvSpPr txBox="1"/>
        </xdr:nvSpPr>
        <xdr:spPr>
          <a:xfrm>
            <a:off x="4451245" y="1011483"/>
            <a:ext cx="1517058" cy="646331"/>
          </a:xfrm>
          <a:prstGeom prst="rect">
            <a:avLst/>
          </a:prstGeom>
          <a:noFill/>
        </xdr:spPr>
        <xdr:txBody>
          <a:bodyPr wrap="square" rtlCol="1">
            <a:spAutoFit/>
          </a:bodyPr>
          <a:lstStyle>
            <a:defPPr>
              <a:defRPr lang="he-IL"/>
            </a:defPPr>
            <a:lvl1pPr marL="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/>
              <a:t>activation function</a:t>
            </a:r>
            <a:endParaRPr lang="he-IL"/>
          </a:p>
        </xdr:txBody>
      </xdr:sp>
      <xdr:cxnSp macro="">
        <xdr:nvCxnSpPr>
          <xdr:cNvPr id="263" name="Straight Arrow Connector 262">
            <a:extLst>
              <a:ext uri="{FF2B5EF4-FFF2-40B4-BE49-F238E27FC236}">
                <a16:creationId xmlns:a16="http://schemas.microsoft.com/office/drawing/2014/main" id="{9C6F922F-5532-46FE-907D-8F66131C65D2}"/>
              </a:ext>
            </a:extLst>
          </xdr:cNvPr>
          <xdr:cNvCxnSpPr>
            <a:cxnSpLocks/>
          </xdr:cNvCxnSpPr>
        </xdr:nvCxnSpPr>
        <xdr:spPr>
          <a:xfrm flipV="1">
            <a:off x="3359983" y="4498489"/>
            <a:ext cx="488804" cy="157121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Arrow Connector 263">
            <a:extLst>
              <a:ext uri="{FF2B5EF4-FFF2-40B4-BE49-F238E27FC236}">
                <a16:creationId xmlns:a16="http://schemas.microsoft.com/office/drawing/2014/main" id="{B2C85DCA-54F5-B666-E349-762B9E7D1059}"/>
              </a:ext>
            </a:extLst>
          </xdr:cNvPr>
          <xdr:cNvCxnSpPr>
            <a:cxnSpLocks/>
          </xdr:cNvCxnSpPr>
        </xdr:nvCxnSpPr>
        <xdr:spPr>
          <a:xfrm flipH="1">
            <a:off x="4588061" y="1613754"/>
            <a:ext cx="164692" cy="17835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" name="Straight Arrow Connector 264">
            <a:extLst>
              <a:ext uri="{FF2B5EF4-FFF2-40B4-BE49-F238E27FC236}">
                <a16:creationId xmlns:a16="http://schemas.microsoft.com/office/drawing/2014/main" id="{C16296C9-7067-1EFB-B223-84EC74852651}"/>
              </a:ext>
            </a:extLst>
          </xdr:cNvPr>
          <xdr:cNvCxnSpPr>
            <a:cxnSpLocks/>
            <a:stCxn id="261" idx="1"/>
          </xdr:cNvCxnSpPr>
        </xdr:nvCxnSpPr>
        <xdr:spPr>
          <a:xfrm flipH="1" flipV="1">
            <a:off x="1824056" y="4159620"/>
            <a:ext cx="816438" cy="49599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oneCellAnchor>
    <xdr:from>
      <xdr:col>12</xdr:col>
      <xdr:colOff>34061</xdr:colOff>
      <xdr:row>3</xdr:row>
      <xdr:rowOff>70124</xdr:rowOff>
    </xdr:from>
    <xdr:ext cx="2199127" cy="1460143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4E3245F6-0816-450F-B99B-698427132ADC}"/>
            </a:ext>
          </a:extLst>
        </xdr:cNvPr>
        <xdr:cNvSpPr txBox="1"/>
      </xdr:nvSpPr>
      <xdr:spPr>
        <a:xfrm>
          <a:off x="8263661" y="613049"/>
          <a:ext cx="2199127" cy="1460143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none" rtlCol="1" anchor="ctr">
          <a:spAutoFit/>
        </a:bodyPr>
        <a:lstStyle/>
        <a:p>
          <a:pPr lvl="0" rtl="1"/>
          <a:r>
            <a:rPr lang="he-IL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הצגת רשת נויורים</a:t>
          </a:r>
          <a:endParaRPr lang="en-US" sz="11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rtl="1"/>
          <a:r>
            <a:rPr lang="he-I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מבנה</a:t>
          </a:r>
          <a:r>
            <a:rPr lang="he-I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he-I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רשת נוירונים עם שכבה נסתרת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rtl="1"/>
          <a:r>
            <a:rPr lang="he-I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nodes, biases</a:t>
          </a:r>
          <a:endParaRPr lang="he-I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rtl="1"/>
          <a:r>
            <a:rPr lang="he-I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פונקציית אקטיבציה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1"/>
          <a:r>
            <a:rPr lang="he-I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inputs, outputs</a:t>
          </a:r>
          <a:endParaRPr lang="he-I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1"/>
          <a:r>
            <a:rPr lang="he-I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משקלים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1"/>
          <a:r>
            <a:rPr lang="he-I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הדגמת</a:t>
          </a:r>
          <a:r>
            <a:rPr lang="he-I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חישוב</a:t>
          </a:r>
        </a:p>
        <a:p>
          <a:pPr rtl="1"/>
          <a:r>
            <a:rPr lang="he-I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ניתן לשלב כל פונקציה</a:t>
          </a:r>
          <a:endParaRPr lang="en-US" sz="1050">
            <a:solidFill>
              <a:schemeClr val="accent2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14</xdr:col>
      <xdr:colOff>299742</xdr:colOff>
      <xdr:row>26</xdr:row>
      <xdr:rowOff>388</xdr:rowOff>
    </xdr:from>
    <xdr:ext cx="2028696" cy="609013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2460AE3C-AB9F-2AC4-509F-EC981B882AC1}"/>
            </a:ext>
          </a:extLst>
        </xdr:cNvPr>
        <xdr:cNvSpPr txBox="1"/>
      </xdr:nvSpPr>
      <xdr:spPr>
        <a:xfrm>
          <a:off x="9900942" y="4715263"/>
          <a:ext cx="2028696" cy="609013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none" rtlCol="1" anchor="ctr">
          <a:spAutoFit/>
        </a:bodyPr>
        <a:lstStyle/>
        <a:p>
          <a:pPr lvl="0" rtl="1"/>
          <a:r>
            <a:rPr lang="he-IL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פונקציות אקטיבציה אוניברסליות</a:t>
          </a:r>
          <a:endParaRPr lang="en-US" sz="11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rtl="1"/>
          <a:r>
            <a:rPr lang="he-I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סיגמויד -- התאמה טובה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rtl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pReLU</a:t>
          </a:r>
          <a:r>
            <a:rPr lang="he-I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-- טוב לאקסטפולציה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4</xdr:col>
      <xdr:colOff>604837</xdr:colOff>
      <xdr:row>34</xdr:row>
      <xdr:rowOff>38100</xdr:rowOff>
    </xdr:from>
    <xdr:to>
      <xdr:col>11</xdr:col>
      <xdr:colOff>376237</xdr:colOff>
      <xdr:row>50</xdr:row>
      <xdr:rowOff>161925</xdr:rowOff>
    </xdr:to>
    <xdr:graphicFrame macro="">
      <xdr:nvGraphicFramePr>
        <xdr:cNvPr id="269" name="Chart 268">
          <a:extLst>
            <a:ext uri="{FF2B5EF4-FFF2-40B4-BE49-F238E27FC236}">
              <a16:creationId xmlns:a16="http://schemas.microsoft.com/office/drawing/2014/main" id="{096E3208-1FC5-C8E4-9960-5CC974A5B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180294</xdr:colOff>
      <xdr:row>57</xdr:row>
      <xdr:rowOff>110562</xdr:rowOff>
    </xdr:from>
    <xdr:to>
      <xdr:col>14</xdr:col>
      <xdr:colOff>481616</xdr:colOff>
      <xdr:row>80</xdr:row>
      <xdr:rowOff>38785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FBABD0-695A-4DC8-BC17-1197F478F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49172</xdr:colOff>
      <xdr:row>57</xdr:row>
      <xdr:rowOff>127190</xdr:rowOff>
    </xdr:from>
    <xdr:to>
      <xdr:col>7</xdr:col>
      <xdr:colOff>168499</xdr:colOff>
      <xdr:row>80</xdr:row>
      <xdr:rowOff>47739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0C9861-D66D-47FF-836E-7F97408AE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33</xdr:col>
      <xdr:colOff>217222</xdr:colOff>
      <xdr:row>56</xdr:row>
      <xdr:rowOff>74840</xdr:rowOff>
    </xdr:from>
    <xdr:to>
      <xdr:col>44</xdr:col>
      <xdr:colOff>200647</xdr:colOff>
      <xdr:row>82</xdr:row>
      <xdr:rowOff>49490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A49294-3F22-41F2-9EC4-54D09DBC7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109199</xdr:colOff>
      <xdr:row>56</xdr:row>
      <xdr:rowOff>89129</xdr:rowOff>
    </xdr:from>
    <xdr:to>
      <xdr:col>32</xdr:col>
      <xdr:colOff>235499</xdr:colOff>
      <xdr:row>82</xdr:row>
      <xdr:rowOff>63779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57FCF-84F0-403B-83AB-665DDE2EA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326571</xdr:colOff>
      <xdr:row>57</xdr:row>
      <xdr:rowOff>95251</xdr:rowOff>
    </xdr:from>
    <xdr:to>
      <xdr:col>21</xdr:col>
      <xdr:colOff>559403</xdr:colOff>
      <xdr:row>80</xdr:row>
      <xdr:rowOff>17312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1063ED-E137-4798-AA4E-DD20947BA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22</xdr:col>
      <xdr:colOff>39349</xdr:colOff>
      <xdr:row>85</xdr:row>
      <xdr:rowOff>181204</xdr:rowOff>
    </xdr:from>
    <xdr:to>
      <xdr:col>32</xdr:col>
      <xdr:colOff>165649</xdr:colOff>
      <xdr:row>108</xdr:row>
      <xdr:rowOff>98704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72034E-1122-4C5C-A08B-EB8841067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33</xdr:col>
      <xdr:colOff>229922</xdr:colOff>
      <xdr:row>85</xdr:row>
      <xdr:rowOff>176440</xdr:rowOff>
    </xdr:from>
    <xdr:to>
      <xdr:col>44</xdr:col>
      <xdr:colOff>213347</xdr:colOff>
      <xdr:row>108</xdr:row>
      <xdr:rowOff>93940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22FC7A8-9EA7-4DA0-9C62-38C6F5A8E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0.06725</cdr:x>
      <cdr:y>0.03316</cdr:y>
    </cdr:from>
    <cdr:to>
      <cdr:x>0.94907</cdr:x>
      <cdr:y>0.93131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5B33460-8277-5EF6-8B8B-3A08E1CE01FD}"/>
            </a:ext>
          </a:extLst>
        </cdr:cNvPr>
        <cdr:cNvCxnSpPr/>
      </cdr:nvCxnSpPr>
      <cdr:spPr>
        <a:xfrm xmlns:a="http://schemas.openxmlformats.org/drawingml/2006/main">
          <a:off x="307975" y="142873"/>
          <a:ext cx="4038205" cy="386923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0.09028</cdr:x>
      <cdr:y>0.00638</cdr:y>
    </cdr:from>
    <cdr:to>
      <cdr:x>0.19907</cdr:x>
      <cdr:y>0.07262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849E9F0-7610-3C0E-AA9E-1BFEDDE0EFB3}"/>
            </a:ext>
          </a:extLst>
        </cdr:cNvPr>
        <cdr:cNvSpPr txBox="1"/>
      </cdr:nvSpPr>
      <cdr:spPr>
        <a:xfrm xmlns:a="http://schemas.openxmlformats.org/drawingml/2006/main">
          <a:off x="412750" y="27516"/>
          <a:ext cx="497417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NaCl</a:t>
          </a:r>
        </a:p>
      </cdr:txBody>
    </cdr:sp>
  </cdr:relSizeAnchor>
  <cdr:relSizeAnchor xmlns:cdr="http://schemas.openxmlformats.org/drawingml/2006/chartDrawing">
    <cdr:from>
      <cdr:x>0.87269</cdr:x>
      <cdr:y>0.91021</cdr:y>
    </cdr:from>
    <cdr:to>
      <cdr:x>0.98148</cdr:x>
      <cdr:y>0.97645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9C9C54D-ED4A-9B2D-DD7A-0B0465CD2AB8}"/>
            </a:ext>
          </a:extLst>
        </cdr:cNvPr>
        <cdr:cNvSpPr txBox="1"/>
      </cdr:nvSpPr>
      <cdr:spPr>
        <a:xfrm xmlns:a="http://schemas.openxmlformats.org/drawingml/2006/main">
          <a:off x="3989946" y="3926441"/>
          <a:ext cx="497388" cy="2857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MgCl2</a:t>
          </a:r>
        </a:p>
      </cdr:txBody>
    </cdr:sp>
  </cdr:relSizeAnchor>
  <cdr:relSizeAnchor xmlns:cdr="http://schemas.openxmlformats.org/drawingml/2006/chartDrawing">
    <cdr:from>
      <cdr:x>0.06481</cdr:x>
      <cdr:y>0.87929</cdr:y>
    </cdr:from>
    <cdr:to>
      <cdr:x>0.17361</cdr:x>
      <cdr:y>0.94553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481512FC-3E40-87A4-6AA8-945280DB983A}"/>
            </a:ext>
          </a:extLst>
        </cdr:cNvPr>
        <cdr:cNvSpPr txBox="1"/>
      </cdr:nvSpPr>
      <cdr:spPr>
        <a:xfrm xmlns:a="http://schemas.openxmlformats.org/drawingml/2006/main">
          <a:off x="296333" y="3793066"/>
          <a:ext cx="497417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KCl</a:t>
          </a:r>
        </a:p>
      </cdr:txBody>
    </cdr:sp>
  </cdr:relSizeAnchor>
  <cdr:relSizeAnchor xmlns:cdr="http://schemas.openxmlformats.org/drawingml/2006/chartDrawing">
    <cdr:from>
      <cdr:x>0.48818</cdr:x>
      <cdr:y>0.8849</cdr:y>
    </cdr:from>
    <cdr:to>
      <cdr:x>0.7567</cdr:x>
      <cdr:y>0.95114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FCA71385-6252-1E14-6013-770E72B0E904}"/>
            </a:ext>
          </a:extLst>
        </cdr:cNvPr>
        <cdr:cNvSpPr txBox="1"/>
      </cdr:nvSpPr>
      <cdr:spPr>
        <a:xfrm xmlns:a="http://schemas.openxmlformats.org/drawingml/2006/main">
          <a:off x="2237059" y="3813674"/>
          <a:ext cx="1230484" cy="285476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0">
          <a:schemeClr val="accent3"/>
        </a:lnRef>
        <a:fillRef xmlns:a="http://schemas.openxmlformats.org/drawingml/2006/main" idx="3">
          <a:schemeClr val="accent3"/>
        </a:fillRef>
        <a:effectRef xmlns:a="http://schemas.openxmlformats.org/drawingml/2006/main" idx="3">
          <a:schemeClr val="accent3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KCl*MgCl2*6H20</a:t>
          </a:r>
        </a:p>
      </cdr:txBody>
    </cdr:sp>
  </cdr:relSizeAnchor>
  <cdr:relSizeAnchor xmlns:cdr="http://schemas.openxmlformats.org/drawingml/2006/chartDrawing">
    <cdr:from>
      <cdr:x>0.21157</cdr:x>
      <cdr:y>0.81207</cdr:y>
    </cdr:from>
    <cdr:to>
      <cdr:x>0.2963</cdr:x>
      <cdr:y>0.87831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0FCBEDB6-F477-EE1B-7EE0-11716CDEF45A}"/>
            </a:ext>
          </a:extLst>
        </cdr:cNvPr>
        <cdr:cNvSpPr txBox="1"/>
      </cdr:nvSpPr>
      <cdr:spPr>
        <a:xfrm xmlns:a="http://schemas.openxmlformats.org/drawingml/2006/main">
          <a:off x="967315" y="3503082"/>
          <a:ext cx="387352" cy="28575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0">
          <a:schemeClr val="accent3"/>
        </a:lnRef>
        <a:fillRef xmlns:a="http://schemas.openxmlformats.org/drawingml/2006/main" idx="3">
          <a:schemeClr val="accent3"/>
        </a:fillRef>
        <a:effectRef xmlns:a="http://schemas.openxmlformats.org/drawingml/2006/main" idx="3">
          <a:schemeClr val="accent3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KCl</a:t>
          </a:r>
        </a:p>
      </cdr:txBody>
    </cdr:sp>
  </cdr:relSizeAnchor>
  <cdr:relSizeAnchor xmlns:cdr="http://schemas.openxmlformats.org/drawingml/2006/chartDrawing">
    <cdr:from>
      <cdr:x>0.4625</cdr:x>
      <cdr:y>0.58734</cdr:y>
    </cdr:from>
    <cdr:to>
      <cdr:x>0.57176</cdr:x>
      <cdr:y>0.65358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0E7A441D-A2DA-FD1E-F20C-38C13C6D5BA1}"/>
            </a:ext>
          </a:extLst>
        </cdr:cNvPr>
        <cdr:cNvSpPr txBox="1"/>
      </cdr:nvSpPr>
      <cdr:spPr>
        <a:xfrm xmlns:a="http://schemas.openxmlformats.org/drawingml/2006/main">
          <a:off x="2114565" y="2533647"/>
          <a:ext cx="499537" cy="28574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0">
          <a:schemeClr val="accent3"/>
        </a:lnRef>
        <a:fillRef xmlns:a="http://schemas.openxmlformats.org/drawingml/2006/main" idx="3">
          <a:schemeClr val="accent3"/>
        </a:fillRef>
        <a:effectRef xmlns:a="http://schemas.openxmlformats.org/drawingml/2006/main" idx="3">
          <a:schemeClr val="accent3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NaCl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0.0654</cdr:x>
      <cdr:y>0.03117</cdr:y>
    </cdr:from>
    <cdr:to>
      <cdr:x>0.94907</cdr:x>
      <cdr:y>0.93131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5B33460-8277-5EF6-8B8B-3A08E1CE01FD}"/>
            </a:ext>
          </a:extLst>
        </cdr:cNvPr>
        <cdr:cNvCxnSpPr/>
      </cdr:nvCxnSpPr>
      <cdr:spPr>
        <a:xfrm xmlns:a="http://schemas.openxmlformats.org/drawingml/2006/main">
          <a:off x="299509" y="134408"/>
          <a:ext cx="4046671" cy="388163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0.09028</cdr:x>
      <cdr:y>0.00638</cdr:y>
    </cdr:from>
    <cdr:to>
      <cdr:x>0.19907</cdr:x>
      <cdr:y>0.07262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849E9F0-7610-3C0E-AA9E-1BFEDDE0EFB3}"/>
            </a:ext>
          </a:extLst>
        </cdr:cNvPr>
        <cdr:cNvSpPr txBox="1"/>
      </cdr:nvSpPr>
      <cdr:spPr>
        <a:xfrm xmlns:a="http://schemas.openxmlformats.org/drawingml/2006/main">
          <a:off x="412750" y="27516"/>
          <a:ext cx="497417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NaCl</a:t>
          </a:r>
        </a:p>
      </cdr:txBody>
    </cdr:sp>
  </cdr:relSizeAnchor>
  <cdr:relSizeAnchor xmlns:cdr="http://schemas.openxmlformats.org/drawingml/2006/chartDrawing">
    <cdr:from>
      <cdr:x>0.87269</cdr:x>
      <cdr:y>0.91021</cdr:y>
    </cdr:from>
    <cdr:to>
      <cdr:x>0.98148</cdr:x>
      <cdr:y>0.97645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9C9C54D-ED4A-9B2D-DD7A-0B0465CD2AB8}"/>
            </a:ext>
          </a:extLst>
        </cdr:cNvPr>
        <cdr:cNvSpPr txBox="1"/>
      </cdr:nvSpPr>
      <cdr:spPr>
        <a:xfrm xmlns:a="http://schemas.openxmlformats.org/drawingml/2006/main">
          <a:off x="3989946" y="3926441"/>
          <a:ext cx="497388" cy="2857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MgCl2</a:t>
          </a:r>
        </a:p>
      </cdr:txBody>
    </cdr:sp>
  </cdr:relSizeAnchor>
  <cdr:relSizeAnchor xmlns:cdr="http://schemas.openxmlformats.org/drawingml/2006/chartDrawing">
    <cdr:from>
      <cdr:x>0.06481</cdr:x>
      <cdr:y>0.87929</cdr:y>
    </cdr:from>
    <cdr:to>
      <cdr:x>0.17361</cdr:x>
      <cdr:y>0.94553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481512FC-3E40-87A4-6AA8-945280DB983A}"/>
            </a:ext>
          </a:extLst>
        </cdr:cNvPr>
        <cdr:cNvSpPr txBox="1"/>
      </cdr:nvSpPr>
      <cdr:spPr>
        <a:xfrm xmlns:a="http://schemas.openxmlformats.org/drawingml/2006/main">
          <a:off x="296333" y="3793066"/>
          <a:ext cx="497417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KCl</a:t>
          </a:r>
        </a:p>
      </cdr:txBody>
    </cdr:sp>
  </cdr:relSizeAnchor>
  <cdr:relSizeAnchor xmlns:cdr="http://schemas.openxmlformats.org/drawingml/2006/chartDrawing">
    <cdr:from>
      <cdr:x>0.21157</cdr:x>
      <cdr:y>0.81207</cdr:y>
    </cdr:from>
    <cdr:to>
      <cdr:x>0.2963</cdr:x>
      <cdr:y>0.87831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0FCBEDB6-F477-EE1B-7EE0-11716CDEF45A}"/>
            </a:ext>
          </a:extLst>
        </cdr:cNvPr>
        <cdr:cNvSpPr txBox="1"/>
      </cdr:nvSpPr>
      <cdr:spPr>
        <a:xfrm xmlns:a="http://schemas.openxmlformats.org/drawingml/2006/main">
          <a:off x="967315" y="3503082"/>
          <a:ext cx="387352" cy="28575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0">
          <a:schemeClr val="accent3"/>
        </a:lnRef>
        <a:fillRef xmlns:a="http://schemas.openxmlformats.org/drawingml/2006/main" idx="3">
          <a:schemeClr val="accent3"/>
        </a:fillRef>
        <a:effectRef xmlns:a="http://schemas.openxmlformats.org/drawingml/2006/main" idx="3">
          <a:schemeClr val="accent3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KCl</a:t>
          </a:r>
        </a:p>
      </cdr:txBody>
    </cdr:sp>
  </cdr:relSizeAnchor>
  <cdr:relSizeAnchor xmlns:cdr="http://schemas.openxmlformats.org/drawingml/2006/chartDrawing">
    <cdr:from>
      <cdr:x>0.4625</cdr:x>
      <cdr:y>0.58734</cdr:y>
    </cdr:from>
    <cdr:to>
      <cdr:x>0.57176</cdr:x>
      <cdr:y>0.65358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0E7A441D-A2DA-FD1E-F20C-38C13C6D5BA1}"/>
            </a:ext>
          </a:extLst>
        </cdr:cNvPr>
        <cdr:cNvSpPr txBox="1"/>
      </cdr:nvSpPr>
      <cdr:spPr>
        <a:xfrm xmlns:a="http://schemas.openxmlformats.org/drawingml/2006/main">
          <a:off x="2114565" y="2533647"/>
          <a:ext cx="499537" cy="28574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0">
          <a:schemeClr val="accent3"/>
        </a:lnRef>
        <a:fillRef xmlns:a="http://schemas.openxmlformats.org/drawingml/2006/main" idx="3">
          <a:schemeClr val="accent3"/>
        </a:fillRef>
        <a:effectRef xmlns:a="http://schemas.openxmlformats.org/drawingml/2006/main" idx="3">
          <a:schemeClr val="accent3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NaCl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0.44759</cdr:x>
      <cdr:y>0.55532</cdr:y>
    </cdr:from>
    <cdr:to>
      <cdr:x>0.79023</cdr:x>
      <cdr:y>0.62003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FCA71385-6252-1E14-6013-770E72B0E904}"/>
            </a:ext>
          </a:extLst>
        </cdr:cNvPr>
        <cdr:cNvSpPr txBox="1"/>
      </cdr:nvSpPr>
      <cdr:spPr>
        <a:xfrm xmlns:a="http://schemas.openxmlformats.org/drawingml/2006/main">
          <a:off x="2022687" y="2395535"/>
          <a:ext cx="1548419" cy="27914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0">
          <a:schemeClr val="accent3"/>
        </a:lnRef>
        <a:fillRef xmlns:a="http://schemas.openxmlformats.org/drawingml/2006/main" idx="3">
          <a:schemeClr val="accent3"/>
        </a:fillRef>
        <a:effectRef xmlns:a="http://schemas.openxmlformats.org/drawingml/2006/main" idx="3">
          <a:schemeClr val="accent3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NaCl + KCl*MgCl2*6H20</a:t>
          </a:r>
        </a:p>
      </cdr:txBody>
    </cdr:sp>
  </cdr:relSizeAnchor>
  <cdr:relSizeAnchor xmlns:cdr="http://schemas.openxmlformats.org/drawingml/2006/chartDrawing">
    <cdr:from>
      <cdr:x>0.155</cdr:x>
      <cdr:y>0.52583</cdr:y>
    </cdr:from>
    <cdr:to>
      <cdr:x>0.32013</cdr:x>
      <cdr:y>0.59165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0E7A441D-A2DA-FD1E-F20C-38C13C6D5BA1}"/>
            </a:ext>
          </a:extLst>
        </cdr:cNvPr>
        <cdr:cNvSpPr txBox="1"/>
      </cdr:nvSpPr>
      <cdr:spPr>
        <a:xfrm xmlns:a="http://schemas.openxmlformats.org/drawingml/2006/main">
          <a:off x="700468" y="2268287"/>
          <a:ext cx="746236" cy="283932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0">
          <a:schemeClr val="accent3"/>
        </a:lnRef>
        <a:fillRef xmlns:a="http://schemas.openxmlformats.org/drawingml/2006/main" idx="3">
          <a:schemeClr val="accent3"/>
        </a:fillRef>
        <a:effectRef xmlns:a="http://schemas.openxmlformats.org/drawingml/2006/main" idx="3">
          <a:schemeClr val="accent3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NaCl + KCl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8A2C-0683-4B91-9336-693A85628A92}">
  <dimension ref="A1:K93"/>
  <sheetViews>
    <sheetView tabSelected="1" zoomScaleNormal="100" workbookViewId="0">
      <selection activeCell="M7" sqref="M7"/>
    </sheetView>
  </sheetViews>
  <sheetFormatPr defaultRowHeight="14.25"/>
  <sheetData>
    <row r="1" spans="1:8" s="13" customFormat="1">
      <c r="A1" s="77" t="s">
        <v>140</v>
      </c>
    </row>
    <row r="12" spans="1:8" s="13" customFormat="1">
      <c r="A12" s="78" t="s">
        <v>141</v>
      </c>
    </row>
    <row r="14" spans="1:8" ht="15">
      <c r="A14" s="66"/>
      <c r="B14" s="72" t="s">
        <v>94</v>
      </c>
      <c r="C14" s="72" t="s">
        <v>95</v>
      </c>
      <c r="D14" s="72" t="s">
        <v>96</v>
      </c>
      <c r="E14" s="72" t="s">
        <v>97</v>
      </c>
      <c r="F14" s="72" t="s">
        <v>98</v>
      </c>
      <c r="G14" s="72" t="s">
        <v>99</v>
      </c>
      <c r="H14" s="72" t="s">
        <v>104</v>
      </c>
    </row>
    <row r="15" spans="1:8">
      <c r="A15" s="71" t="s">
        <v>105</v>
      </c>
      <c r="B15" s="68">
        <v>1.1263098591549297E-2</v>
      </c>
      <c r="C15" s="67">
        <v>9.3200000000000005E-2</v>
      </c>
      <c r="D15" s="68">
        <v>7.2050704225352119E-2</v>
      </c>
      <c r="E15" s="70">
        <v>8.69</v>
      </c>
      <c r="F15" s="69">
        <v>1.7</v>
      </c>
      <c r="G15" s="67">
        <v>1.8599999999999998E-2</v>
      </c>
      <c r="H15" s="70">
        <v>12.09</v>
      </c>
    </row>
    <row r="16" spans="1:8">
      <c r="A16" s="71" t="s">
        <v>106</v>
      </c>
      <c r="B16" s="70">
        <v>10.324507042253522</v>
      </c>
      <c r="C16" s="67">
        <v>1.6800000000000001E-3</v>
      </c>
      <c r="D16" s="68">
        <v>0.2291267605633803</v>
      </c>
      <c r="E16" s="70">
        <v>10.66</v>
      </c>
      <c r="F16" s="69">
        <v>1.52</v>
      </c>
      <c r="G16" s="67">
        <v>0.02</v>
      </c>
      <c r="H16" s="70">
        <v>10.66</v>
      </c>
    </row>
    <row r="17" spans="1:8">
      <c r="A17" s="71" t="s">
        <v>107</v>
      </c>
      <c r="B17" s="70">
        <v>10.379718309859156</v>
      </c>
      <c r="C17" s="67">
        <v>9.9000000000000005E-2</v>
      </c>
      <c r="D17" s="68">
        <v>0.26860281690140841</v>
      </c>
      <c r="E17" s="70">
        <v>8.31</v>
      </c>
      <c r="F17" s="69">
        <v>1.5</v>
      </c>
      <c r="G17" s="67">
        <v>2.0799999999999999E-2</v>
      </c>
      <c r="H17" s="70">
        <v>10.41</v>
      </c>
    </row>
    <row r="18" spans="1:8">
      <c r="A18" s="71" t="s">
        <v>108</v>
      </c>
      <c r="B18" s="70">
        <v>19.820845070422536</v>
      </c>
      <c r="C18" s="67">
        <v>3.0599999999999998E-3</v>
      </c>
      <c r="D18" s="68">
        <v>0.63492957746478884</v>
      </c>
      <c r="E18" s="70">
        <v>11.3</v>
      </c>
      <c r="F18" s="69">
        <v>1.34</v>
      </c>
      <c r="G18" s="67">
        <v>1.8839999999999999E-2</v>
      </c>
      <c r="H18" s="70">
        <v>11.3</v>
      </c>
    </row>
    <row r="19" spans="1:8">
      <c r="A19" s="71" t="s">
        <v>109</v>
      </c>
      <c r="B19" s="70">
        <v>19.710422535211269</v>
      </c>
      <c r="C19" s="67">
        <v>9.2799999999999994E-2</v>
      </c>
      <c r="D19" s="68">
        <v>0.77295774647887339</v>
      </c>
      <c r="E19" s="70">
        <v>10.36</v>
      </c>
      <c r="F19" s="69">
        <v>1.32</v>
      </c>
      <c r="G19" s="67">
        <v>1.95E-2</v>
      </c>
      <c r="H19" s="70">
        <v>12.34</v>
      </c>
    </row>
    <row r="20" spans="1:8">
      <c r="A20" s="71" t="s">
        <v>110</v>
      </c>
      <c r="B20" s="70">
        <v>28.709859154929578</v>
      </c>
      <c r="C20" s="67">
        <v>5.7200000000000003E-3</v>
      </c>
      <c r="D20" s="69">
        <v>1.4354929577464788</v>
      </c>
      <c r="E20" s="70">
        <v>11.96</v>
      </c>
      <c r="F20" s="69">
        <v>1.28</v>
      </c>
      <c r="G20" s="67">
        <v>1.9779999999999999E-2</v>
      </c>
      <c r="H20" s="70">
        <v>11.96</v>
      </c>
    </row>
    <row r="21" spans="1:8">
      <c r="A21" s="71" t="s">
        <v>111</v>
      </c>
      <c r="B21" s="70">
        <v>27.88169014084507</v>
      </c>
      <c r="C21" s="67">
        <v>8.5800000000000001E-2</v>
      </c>
      <c r="D21" s="69">
        <v>1.3250704225352112</v>
      </c>
      <c r="E21" s="70">
        <v>9.6999999999999993</v>
      </c>
      <c r="F21" s="69">
        <v>1.34</v>
      </c>
      <c r="G21" s="67">
        <v>2.2200000000000001E-2</v>
      </c>
      <c r="H21" s="70">
        <v>11.1</v>
      </c>
    </row>
    <row r="22" spans="1:8">
      <c r="A22" s="71" t="s">
        <v>112</v>
      </c>
      <c r="B22" s="70">
        <v>35.611267605633806</v>
      </c>
      <c r="C22" s="67">
        <v>7.1000000000000004E-3</v>
      </c>
      <c r="D22" s="69">
        <v>2.8709859154929576</v>
      </c>
      <c r="E22" s="70">
        <v>11.94</v>
      </c>
      <c r="F22" s="69">
        <v>1.28</v>
      </c>
      <c r="G22" s="67">
        <v>3.5999999999999997E-2</v>
      </c>
      <c r="H22" s="70">
        <v>11.94</v>
      </c>
    </row>
    <row r="23" spans="1:8">
      <c r="A23" s="71" t="s">
        <v>113</v>
      </c>
      <c r="B23" s="70">
        <v>35.887323943661976</v>
      </c>
      <c r="C23" s="67">
        <v>8.4599999999999995E-2</v>
      </c>
      <c r="D23" s="69">
        <v>2.9814084507042256</v>
      </c>
      <c r="E23" s="70">
        <v>12.02</v>
      </c>
      <c r="F23" s="69">
        <v>1.24</v>
      </c>
      <c r="G23" s="67">
        <v>3.7400000000000003E-2</v>
      </c>
      <c r="H23" s="70">
        <v>12.6</v>
      </c>
    </row>
    <row r="24" spans="1:8">
      <c r="A24" s="71" t="s">
        <v>114</v>
      </c>
      <c r="B24" s="70">
        <v>43.064788732394362</v>
      </c>
      <c r="C24" s="67">
        <v>8.1600000000000006E-3</v>
      </c>
      <c r="D24" s="69">
        <v>5.3278873239436617</v>
      </c>
      <c r="E24" s="70">
        <v>12.12</v>
      </c>
      <c r="F24" s="69">
        <v>1.28</v>
      </c>
      <c r="G24" s="67">
        <v>5.7000000000000002E-2</v>
      </c>
      <c r="H24" s="70">
        <v>12.12</v>
      </c>
    </row>
    <row r="25" spans="1:8">
      <c r="A25" s="71" t="s">
        <v>115</v>
      </c>
      <c r="B25" s="70">
        <v>43.064788732394362</v>
      </c>
      <c r="C25" s="67">
        <v>8.0199999999999994E-2</v>
      </c>
      <c r="D25" s="69">
        <v>5.6039436619718304</v>
      </c>
      <c r="E25" s="70">
        <v>10.38</v>
      </c>
      <c r="F25" s="69">
        <v>1.06</v>
      </c>
      <c r="G25" s="67">
        <v>6.08E-2</v>
      </c>
      <c r="H25" s="70">
        <v>11.7</v>
      </c>
    </row>
    <row r="26" spans="1:8">
      <c r="A26" s="71" t="s">
        <v>116</v>
      </c>
      <c r="B26" s="70">
        <v>49.966197183098593</v>
      </c>
      <c r="C26" s="67">
        <v>7.3600000000000002E-3</v>
      </c>
      <c r="D26" s="69">
        <v>8.723380281690142</v>
      </c>
      <c r="E26" s="70">
        <v>12.28</v>
      </c>
      <c r="F26" s="69">
        <v>1.28</v>
      </c>
      <c r="G26" s="67">
        <v>8.72E-2</v>
      </c>
      <c r="H26" s="70">
        <v>12.28</v>
      </c>
    </row>
    <row r="27" spans="1:8">
      <c r="A27" s="71" t="s">
        <v>117</v>
      </c>
      <c r="B27" s="68">
        <v>1.7253521126760565E-2</v>
      </c>
      <c r="C27" s="67">
        <v>0.154</v>
      </c>
      <c r="D27" s="68">
        <v>4.2236619718309859E-2</v>
      </c>
      <c r="E27" s="70">
        <v>11.48</v>
      </c>
      <c r="F27" s="69">
        <v>1.46</v>
      </c>
      <c r="G27" s="67">
        <v>1.6400000000000001E-2</v>
      </c>
      <c r="H27" s="70">
        <v>13.28</v>
      </c>
    </row>
    <row r="28" spans="1:8">
      <c r="A28" s="71" t="s">
        <v>100</v>
      </c>
      <c r="B28" s="69">
        <v>4.8309859154929571</v>
      </c>
      <c r="C28" s="67">
        <v>2E-3</v>
      </c>
      <c r="D28" s="68">
        <v>0.14630985915492956</v>
      </c>
      <c r="E28" s="70">
        <v>12.7</v>
      </c>
      <c r="F28" s="69">
        <v>1.78</v>
      </c>
      <c r="G28" s="67">
        <v>1.302E-2</v>
      </c>
      <c r="H28" s="70">
        <v>12.6</v>
      </c>
    </row>
    <row r="29" spans="1:8">
      <c r="A29" s="71" t="s">
        <v>101</v>
      </c>
      <c r="B29" s="69">
        <v>4.9414084507042251</v>
      </c>
      <c r="C29" s="67">
        <v>0.10780000000000001</v>
      </c>
      <c r="D29" s="68">
        <v>0.17253521126760563</v>
      </c>
      <c r="E29" s="70">
        <v>12.06</v>
      </c>
      <c r="F29" s="69">
        <v>1.66</v>
      </c>
      <c r="G29" s="67">
        <v>1.3899999999999999E-2</v>
      </c>
      <c r="H29" s="70">
        <v>11.84</v>
      </c>
    </row>
    <row r="30" spans="1:8">
      <c r="A30" s="71" t="s">
        <v>102</v>
      </c>
      <c r="B30" s="70">
        <v>19.599999999999998</v>
      </c>
      <c r="C30" s="67">
        <v>3.3E-3</v>
      </c>
      <c r="D30" s="68">
        <v>0.82816901408450694</v>
      </c>
      <c r="E30" s="70">
        <v>11.84</v>
      </c>
      <c r="F30" s="69">
        <v>1.38</v>
      </c>
      <c r="G30" s="67">
        <v>1.6879999999999999E-2</v>
      </c>
      <c r="H30" s="70">
        <v>11.42</v>
      </c>
    </row>
    <row r="31" spans="1:8">
      <c r="A31" s="71" t="s">
        <v>103</v>
      </c>
      <c r="B31" s="70">
        <v>19.7656338028169</v>
      </c>
      <c r="C31" s="67">
        <v>0.112</v>
      </c>
      <c r="D31" s="68">
        <v>0.85577464788732394</v>
      </c>
      <c r="E31" s="70">
        <v>12.46</v>
      </c>
      <c r="F31" s="69">
        <v>1.38</v>
      </c>
      <c r="G31" s="67">
        <v>1.8319999999999999E-2</v>
      </c>
      <c r="H31" s="70">
        <v>11.2</v>
      </c>
    </row>
    <row r="48" spans="1:1" s="13" customFormat="1">
      <c r="A48" s="78" t="s">
        <v>142</v>
      </c>
    </row>
    <row r="49" spans="1:11">
      <c r="A49" t="s">
        <v>125</v>
      </c>
    </row>
    <row r="51" spans="1:11" ht="15" thickBot="1">
      <c r="A51" t="s">
        <v>29</v>
      </c>
      <c r="B51" t="s">
        <v>30</v>
      </c>
      <c r="G51" t="s">
        <v>29</v>
      </c>
      <c r="H51" t="s">
        <v>126</v>
      </c>
      <c r="I51" t="s">
        <v>122</v>
      </c>
      <c r="J51" t="s">
        <v>123</v>
      </c>
      <c r="K51" t="s">
        <v>124</v>
      </c>
    </row>
    <row r="52" spans="1:11" ht="16.5" thickTop="1" thickBot="1">
      <c r="A52">
        <v>1.1000000000000001</v>
      </c>
      <c r="B52">
        <f t="shared" ref="B52:B71" si="0">$E$52+$E$53/(A52+$E$54)</f>
        <v>31.999999999999972</v>
      </c>
      <c r="D52" t="s">
        <v>118</v>
      </c>
      <c r="E52" s="73">
        <v>2</v>
      </c>
      <c r="G52" s="81">
        <v>1.1000000000000001</v>
      </c>
      <c r="H52">
        <f>$E$52+$E$53/(G52+$E$54)</f>
        <v>31.999999999999972</v>
      </c>
      <c r="I52">
        <f>$E$57+$E$58/(G52+$E$59)</f>
        <v>31.989360528251972</v>
      </c>
      <c r="J52" s="76">
        <f>(H52-I52)^2</f>
        <v>1.131983590764915E-4</v>
      </c>
    </row>
    <row r="53" spans="1:11" ht="16.5" thickTop="1" thickBot="1">
      <c r="A53">
        <v>1.2</v>
      </c>
      <c r="B53">
        <f t="shared" si="0"/>
        <v>17.000000000000004</v>
      </c>
      <c r="D53" t="s">
        <v>119</v>
      </c>
      <c r="E53" s="73">
        <v>3</v>
      </c>
      <c r="G53" s="81">
        <v>1.2</v>
      </c>
      <c r="H53">
        <f t="shared" ref="H53:H56" si="1">$E$52+$E$53/(G53+$E$54)</f>
        <v>17.000000000000004</v>
      </c>
      <c r="I53">
        <f>$E$57+$E$58/(G53+$E$59)</f>
        <v>16.997035819837166</v>
      </c>
      <c r="J53" s="76">
        <f>(H53-I53)^2</f>
        <v>8.7863640377620054E-6</v>
      </c>
    </row>
    <row r="54" spans="1:11" ht="16.5" thickTop="1" thickBot="1">
      <c r="A54">
        <v>1.3</v>
      </c>
      <c r="B54">
        <f t="shared" si="0"/>
        <v>11.999999999999998</v>
      </c>
      <c r="D54" t="s">
        <v>120</v>
      </c>
      <c r="E54" s="73">
        <v>-1</v>
      </c>
      <c r="G54" s="81">
        <v>1.5</v>
      </c>
      <c r="H54">
        <f t="shared" si="1"/>
        <v>8</v>
      </c>
      <c r="I54">
        <f>$E$57+$E$58/(G54+$E$59)</f>
        <v>7.9983155390560672</v>
      </c>
      <c r="J54" s="76">
        <f>(H54-I54)^2</f>
        <v>2.8374086716350455E-6</v>
      </c>
    </row>
    <row r="55" spans="1:11" ht="16.5" thickTop="1" thickBot="1">
      <c r="A55">
        <v>1.4</v>
      </c>
      <c r="B55">
        <f t="shared" si="0"/>
        <v>9.5000000000000018</v>
      </c>
      <c r="G55" s="81">
        <v>2.6</v>
      </c>
      <c r="H55">
        <f t="shared" si="1"/>
        <v>3.875</v>
      </c>
      <c r="I55">
        <f>$E$57+$E$58/(G55+$E$59)</f>
        <v>3.8730681869606483</v>
      </c>
      <c r="J55" s="76">
        <f>(H55-I55)^2</f>
        <v>3.7319016190094404E-6</v>
      </c>
    </row>
    <row r="56" spans="1:11" ht="16.5" thickTop="1" thickBot="1">
      <c r="A56">
        <v>1.5</v>
      </c>
      <c r="B56">
        <f t="shared" si="0"/>
        <v>8</v>
      </c>
      <c r="G56" s="81">
        <v>3</v>
      </c>
      <c r="H56">
        <f t="shared" si="1"/>
        <v>3.5</v>
      </c>
      <c r="I56">
        <f>$E$57+$E$58/(G56+$E$59)</f>
        <v>3.4980197036224769</v>
      </c>
      <c r="J56" s="76">
        <f>(H56-I56)^2</f>
        <v>3.9215737428309568E-6</v>
      </c>
      <c r="K56" s="76">
        <f>SUM(J52:J56)</f>
        <v>1.3247560714772896E-4</v>
      </c>
    </row>
    <row r="57" spans="1:11" ht="15.75" thickTop="1">
      <c r="A57">
        <v>1.6</v>
      </c>
      <c r="B57">
        <f t="shared" si="0"/>
        <v>6.9999999999999991</v>
      </c>
      <c r="D57" t="s">
        <v>118</v>
      </c>
      <c r="E57" s="75">
        <v>1.997782438291599</v>
      </c>
    </row>
    <row r="58" spans="1:11" ht="15">
      <c r="A58">
        <v>1.7</v>
      </c>
      <c r="B58">
        <f t="shared" si="0"/>
        <v>6.2857142857142856</v>
      </c>
      <c r="D58" t="s">
        <v>119</v>
      </c>
      <c r="E58" s="75">
        <v>3.0005438638294408</v>
      </c>
      <c r="G58" s="81"/>
    </row>
    <row r="59" spans="1:11" ht="15">
      <c r="A59">
        <v>1.8</v>
      </c>
      <c r="B59">
        <f t="shared" si="0"/>
        <v>5.75</v>
      </c>
      <c r="D59" t="s">
        <v>120</v>
      </c>
      <c r="E59" s="75">
        <v>-0.99995378519832323</v>
      </c>
      <c r="G59" s="81"/>
    </row>
    <row r="60" spans="1:11">
      <c r="A60">
        <v>1.9</v>
      </c>
      <c r="B60">
        <f t="shared" si="0"/>
        <v>5.3333333333333339</v>
      </c>
      <c r="G60" s="81"/>
    </row>
    <row r="61" spans="1:11">
      <c r="A61">
        <v>2</v>
      </c>
      <c r="B61">
        <f t="shared" si="0"/>
        <v>5</v>
      </c>
      <c r="G61" s="81"/>
    </row>
    <row r="62" spans="1:11">
      <c r="A62">
        <v>2.1</v>
      </c>
      <c r="B62">
        <f t="shared" si="0"/>
        <v>4.7272727272727266</v>
      </c>
    </row>
    <row r="63" spans="1:11">
      <c r="A63">
        <v>2.2000000000000002</v>
      </c>
      <c r="B63">
        <f t="shared" si="0"/>
        <v>4.5</v>
      </c>
      <c r="G63" s="81"/>
    </row>
    <row r="64" spans="1:11">
      <c r="A64">
        <v>2.2999999999999998</v>
      </c>
      <c r="B64">
        <f t="shared" si="0"/>
        <v>4.3076923076923084</v>
      </c>
      <c r="G64" s="81"/>
    </row>
    <row r="65" spans="1:7">
      <c r="A65">
        <v>2.4</v>
      </c>
      <c r="B65">
        <f t="shared" si="0"/>
        <v>4.1428571428571423</v>
      </c>
      <c r="G65" s="81"/>
    </row>
    <row r="66" spans="1:7">
      <c r="A66">
        <v>2.5</v>
      </c>
      <c r="B66">
        <f t="shared" si="0"/>
        <v>4</v>
      </c>
      <c r="G66" s="81"/>
    </row>
    <row r="67" spans="1:7">
      <c r="A67">
        <v>2.6</v>
      </c>
      <c r="B67">
        <f t="shared" si="0"/>
        <v>3.875</v>
      </c>
    </row>
    <row r="68" spans="1:7">
      <c r="A68">
        <v>2.7</v>
      </c>
      <c r="B68">
        <f t="shared" si="0"/>
        <v>3.7647058823529411</v>
      </c>
      <c r="G68" s="81"/>
    </row>
    <row r="69" spans="1:7">
      <c r="A69">
        <v>2.8</v>
      </c>
      <c r="B69">
        <f t="shared" si="0"/>
        <v>3.666666666666667</v>
      </c>
      <c r="G69" s="81"/>
    </row>
    <row r="70" spans="1:7">
      <c r="A70">
        <v>2.9</v>
      </c>
      <c r="B70">
        <f t="shared" si="0"/>
        <v>3.5789473684210527</v>
      </c>
      <c r="G70" s="81"/>
    </row>
    <row r="71" spans="1:7">
      <c r="A71">
        <v>3</v>
      </c>
      <c r="B71">
        <f t="shared" si="0"/>
        <v>3.5</v>
      </c>
    </row>
    <row r="79" spans="1:7" s="79" customFormat="1">
      <c r="A79" s="80" t="s">
        <v>142</v>
      </c>
    </row>
    <row r="80" spans="1:7">
      <c r="A80" t="s">
        <v>121</v>
      </c>
    </row>
    <row r="82" spans="1:11" ht="15" thickBot="1">
      <c r="A82" t="s">
        <v>29</v>
      </c>
      <c r="B82" t="s">
        <v>30</v>
      </c>
      <c r="G82" t="s">
        <v>29</v>
      </c>
      <c r="H82" t="s">
        <v>126</v>
      </c>
      <c r="I82" t="s">
        <v>122</v>
      </c>
      <c r="J82" t="s">
        <v>123</v>
      </c>
      <c r="K82" t="s">
        <v>124</v>
      </c>
    </row>
    <row r="83" spans="1:11" ht="16.5" thickTop="1" thickBot="1">
      <c r="A83">
        <v>0</v>
      </c>
      <c r="B83">
        <f t="shared" ref="B83:B93" si="2">$E$83*EXP($E$84*A83)+$E$85</f>
        <v>8</v>
      </c>
      <c r="D83" t="s">
        <v>118</v>
      </c>
      <c r="E83" s="73">
        <v>5</v>
      </c>
      <c r="G83" s="74">
        <v>0</v>
      </c>
      <c r="H83" s="74">
        <f>B83</f>
        <v>8</v>
      </c>
      <c r="I83" s="74">
        <f>$E$88*EXP($E$89*G83)+$E$90</f>
        <v>8.0005960284021072</v>
      </c>
      <c r="J83" s="76">
        <f>(H83-I83)^2</f>
        <v>3.5524985611840437E-7</v>
      </c>
    </row>
    <row r="84" spans="1:11" ht="16.5" thickTop="1" thickBot="1">
      <c r="A84">
        <v>0.2</v>
      </c>
      <c r="B84">
        <f t="shared" si="2"/>
        <v>6.3516002301781969</v>
      </c>
      <c r="D84" t="s">
        <v>119</v>
      </c>
      <c r="E84" s="73">
        <v>-2</v>
      </c>
      <c r="G84" s="74">
        <v>0.4</v>
      </c>
      <c r="H84" s="74">
        <f>B85</f>
        <v>5.2466448205861074</v>
      </c>
      <c r="I84" s="74">
        <f>$E$88*EXP($E$89*G84)+$E$90</f>
        <v>5.2459581618363158</v>
      </c>
      <c r="J84" s="76">
        <f>(H84-I84)^2</f>
        <v>4.7150023866532032E-7</v>
      </c>
    </row>
    <row r="85" spans="1:11" ht="16.5" thickTop="1" thickBot="1">
      <c r="A85">
        <v>0.4</v>
      </c>
      <c r="B85">
        <f t="shared" si="2"/>
        <v>5.2466448205861074</v>
      </c>
      <c r="D85" t="s">
        <v>120</v>
      </c>
      <c r="E85" s="73">
        <v>3</v>
      </c>
      <c r="G85" s="74">
        <v>0.8</v>
      </c>
      <c r="H85" s="74">
        <f>B87</f>
        <v>4.0094825899732767</v>
      </c>
      <c r="I85" s="74">
        <f>$E$88*EXP($E$89*G85)+$E$90</f>
        <v>4.0091465824275581</v>
      </c>
      <c r="J85" s="76">
        <f>(H85-I85)^2</f>
        <v>1.1290107077984276E-7</v>
      </c>
    </row>
    <row r="86" spans="1:11" ht="16.5" thickTop="1" thickBot="1">
      <c r="A86">
        <v>0.6</v>
      </c>
      <c r="B86">
        <f t="shared" si="2"/>
        <v>4.505971059561011</v>
      </c>
      <c r="G86" s="74">
        <v>1.2</v>
      </c>
      <c r="H86" s="74">
        <f>B89</f>
        <v>3.4535897664470627</v>
      </c>
      <c r="I86" s="74">
        <f>$E$88*EXP($E$89*G86)+$E$90</f>
        <v>3.4538275324986221</v>
      </c>
      <c r="J86" s="76">
        <f>(H86-I86)^2</f>
        <v>5.6532695274118966E-8</v>
      </c>
    </row>
    <row r="87" spans="1:11" ht="16.5" thickTop="1" thickBot="1">
      <c r="A87">
        <v>0.8</v>
      </c>
      <c r="B87">
        <f t="shared" si="2"/>
        <v>4.0094825899732767</v>
      </c>
      <c r="G87" s="74">
        <v>1.6</v>
      </c>
      <c r="H87" s="74">
        <f>B91</f>
        <v>3.2038110198918313</v>
      </c>
      <c r="I87" s="74">
        <f>$E$88*EXP($E$89*G87)+$E$90</f>
        <v>3.20449347681215</v>
      </c>
      <c r="J87" s="76">
        <f>(H87-I87)^2</f>
        <v>4.6574744809097124E-7</v>
      </c>
      <c r="K87" s="76">
        <f>SUM(J83:J87)</f>
        <v>1.4619313089286577E-6</v>
      </c>
    </row>
    <row r="88" spans="1:11" ht="15.75" thickTop="1">
      <c r="A88">
        <v>1</v>
      </c>
      <c r="B88">
        <f t="shared" si="2"/>
        <v>3.6766764161830636</v>
      </c>
      <c r="D88" t="s">
        <v>118</v>
      </c>
      <c r="E88" s="75">
        <v>4.9992741858035048</v>
      </c>
      <c r="G88" s="74"/>
      <c r="H88" s="74"/>
      <c r="I88" s="74"/>
    </row>
    <row r="89" spans="1:11" ht="15">
      <c r="A89">
        <v>1.2</v>
      </c>
      <c r="B89">
        <f t="shared" si="2"/>
        <v>3.4535897664470627</v>
      </c>
      <c r="D89" t="s">
        <v>119</v>
      </c>
      <c r="E89" s="75">
        <v>-2.0018730671784879</v>
      </c>
    </row>
    <row r="90" spans="1:11" ht="15">
      <c r="A90">
        <v>1.4</v>
      </c>
      <c r="B90">
        <f t="shared" si="2"/>
        <v>3.3040503131260897</v>
      </c>
      <c r="D90" t="s">
        <v>120</v>
      </c>
      <c r="E90" s="75">
        <v>3.0013218425986024</v>
      </c>
      <c r="G90" s="74"/>
      <c r="H90" s="74"/>
      <c r="I90" s="74"/>
    </row>
    <row r="91" spans="1:11">
      <c r="A91">
        <v>1.6</v>
      </c>
      <c r="B91">
        <f t="shared" si="2"/>
        <v>3.2038110198918313</v>
      </c>
    </row>
    <row r="92" spans="1:11">
      <c r="A92">
        <v>1.8</v>
      </c>
      <c r="B92">
        <f t="shared" si="2"/>
        <v>3.1366186122364628</v>
      </c>
    </row>
    <row r="93" spans="1:11">
      <c r="A93">
        <v>2</v>
      </c>
      <c r="B93">
        <f t="shared" si="2"/>
        <v>3.0915781944436711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C347-C9FB-4B29-B53C-5B38A75A53A1}">
  <dimension ref="A3:N34"/>
  <sheetViews>
    <sheetView topLeftCell="A24" workbookViewId="0">
      <selection activeCell="O41" sqref="O41"/>
    </sheetView>
  </sheetViews>
  <sheetFormatPr defaultRowHeight="14.25"/>
  <sheetData>
    <row r="3" spans="1:14">
      <c r="A3" t="s">
        <v>127</v>
      </c>
    </row>
    <row r="6" spans="1:14">
      <c r="A6" t="s">
        <v>29</v>
      </c>
      <c r="B6" t="s">
        <v>30</v>
      </c>
    </row>
    <row r="7" spans="1:14">
      <c r="A7">
        <v>-2</v>
      </c>
      <c r="B7">
        <f>-3*A7^2+2*A7+4</f>
        <v>-12</v>
      </c>
      <c r="F7">
        <v>1</v>
      </c>
    </row>
    <row r="8" spans="1:14">
      <c r="A8">
        <v>-1.5</v>
      </c>
      <c r="B8">
        <f t="shared" ref="B8:B17" si="0">-3*A8^2+2*A8+4</f>
        <v>-5.75</v>
      </c>
      <c r="J8">
        <v>-3</v>
      </c>
    </row>
    <row r="9" spans="1:14">
      <c r="A9">
        <v>-1</v>
      </c>
      <c r="B9">
        <f t="shared" si="0"/>
        <v>-1</v>
      </c>
      <c r="F9">
        <v>0</v>
      </c>
    </row>
    <row r="10" spans="1:14">
      <c r="A10">
        <v>-0.5</v>
      </c>
      <c r="B10">
        <f t="shared" si="0"/>
        <v>2.25</v>
      </c>
    </row>
    <row r="11" spans="1:14">
      <c r="A11">
        <v>0</v>
      </c>
      <c r="B11">
        <f t="shared" si="0"/>
        <v>4</v>
      </c>
    </row>
    <row r="12" spans="1:14">
      <c r="A12">
        <v>0.5</v>
      </c>
      <c r="B12">
        <f t="shared" si="0"/>
        <v>4.25</v>
      </c>
      <c r="F12">
        <v>1</v>
      </c>
      <c r="J12">
        <v>2</v>
      </c>
    </row>
    <row r="13" spans="1:14">
      <c r="A13">
        <v>1</v>
      </c>
      <c r="B13">
        <f t="shared" si="0"/>
        <v>3</v>
      </c>
      <c r="F13">
        <v>0</v>
      </c>
      <c r="M13" t="s">
        <v>29</v>
      </c>
      <c r="N13" s="82">
        <v>-2</v>
      </c>
    </row>
    <row r="14" spans="1:14">
      <c r="A14">
        <v>1.5</v>
      </c>
      <c r="B14">
        <f t="shared" si="0"/>
        <v>0.25</v>
      </c>
      <c r="M14" t="s">
        <v>128</v>
      </c>
      <c r="N14">
        <f>N13*F7+1*F9</f>
        <v>-2</v>
      </c>
    </row>
    <row r="15" spans="1:14">
      <c r="A15">
        <v>2</v>
      </c>
      <c r="B15">
        <f t="shared" si="0"/>
        <v>-4</v>
      </c>
      <c r="J15">
        <v>4</v>
      </c>
      <c r="M15" t="s">
        <v>129</v>
      </c>
      <c r="N15">
        <f>N13*F12+1*F13</f>
        <v>-2</v>
      </c>
    </row>
    <row r="16" spans="1:14">
      <c r="A16">
        <v>2.5</v>
      </c>
      <c r="B16">
        <f t="shared" si="0"/>
        <v>-9.75</v>
      </c>
      <c r="M16" t="s">
        <v>130</v>
      </c>
      <c r="N16">
        <f>N14^2</f>
        <v>4</v>
      </c>
    </row>
    <row r="17" spans="1:14">
      <c r="A17">
        <v>3</v>
      </c>
      <c r="B17">
        <f t="shared" si="0"/>
        <v>-17</v>
      </c>
      <c r="M17" t="s">
        <v>131</v>
      </c>
      <c r="N17">
        <f>N15</f>
        <v>-2</v>
      </c>
    </row>
    <row r="18" spans="1:14" ht="15">
      <c r="M18" t="s">
        <v>30</v>
      </c>
      <c r="N18" s="83">
        <f>N16*J8+N17*J12+1*J15</f>
        <v>-12</v>
      </c>
    </row>
    <row r="25" spans="1:14" s="79" customFormat="1">
      <c r="A25" s="84" t="s">
        <v>132</v>
      </c>
    </row>
    <row r="27" spans="1:14">
      <c r="A27" t="s">
        <v>133</v>
      </c>
      <c r="G27" t="s">
        <v>135</v>
      </c>
      <c r="M27" t="s">
        <v>138</v>
      </c>
    </row>
    <row r="28" spans="1:14">
      <c r="A28" t="s">
        <v>134</v>
      </c>
      <c r="G28" t="s">
        <v>136</v>
      </c>
      <c r="M28" t="s">
        <v>139</v>
      </c>
    </row>
    <row r="29" spans="1:14">
      <c r="G29" t="s">
        <v>137</v>
      </c>
    </row>
    <row r="31" spans="1:14">
      <c r="A31" t="s">
        <v>29</v>
      </c>
      <c r="B31">
        <v>-4</v>
      </c>
      <c r="C31">
        <v>-3.5</v>
      </c>
      <c r="D31">
        <v>-3</v>
      </c>
      <c r="E31">
        <v>-2.5</v>
      </c>
      <c r="F31">
        <v>-2</v>
      </c>
      <c r="G31">
        <v>-1.5</v>
      </c>
      <c r="H31">
        <v>-1</v>
      </c>
      <c r="I31">
        <v>-0.5</v>
      </c>
      <c r="J31">
        <v>0</v>
      </c>
      <c r="K31">
        <v>0.5</v>
      </c>
      <c r="L31">
        <v>1</v>
      </c>
      <c r="M31">
        <v>1.5</v>
      </c>
      <c r="N31">
        <v>2</v>
      </c>
    </row>
    <row r="32" spans="1:14">
      <c r="A32" t="s">
        <v>133</v>
      </c>
      <c r="B32">
        <f>MAX(0,B31)</f>
        <v>0</v>
      </c>
      <c r="C32">
        <f t="shared" ref="C32:N32" si="1">MAX(0,C31)</f>
        <v>0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0</v>
      </c>
      <c r="H32">
        <f t="shared" si="1"/>
        <v>0</v>
      </c>
      <c r="I32">
        <f t="shared" si="1"/>
        <v>0</v>
      </c>
      <c r="J32">
        <f t="shared" si="1"/>
        <v>0</v>
      </c>
      <c r="K32">
        <f t="shared" si="1"/>
        <v>0.5</v>
      </c>
      <c r="L32">
        <f t="shared" si="1"/>
        <v>1</v>
      </c>
      <c r="M32">
        <f t="shared" si="1"/>
        <v>1.5</v>
      </c>
      <c r="N32">
        <f t="shared" si="1"/>
        <v>2</v>
      </c>
    </row>
    <row r="33" spans="1:14">
      <c r="A33" t="s">
        <v>135</v>
      </c>
      <c r="B33">
        <f>IF(B31&lt;0,0.001*B31,B31)</f>
        <v>-4.0000000000000001E-3</v>
      </c>
      <c r="C33">
        <f t="shared" ref="C33:N33" si="2">IF(C31&lt;0,0.001*C31,C31)</f>
        <v>-3.5000000000000001E-3</v>
      </c>
      <c r="D33">
        <f t="shared" si="2"/>
        <v>-3.0000000000000001E-3</v>
      </c>
      <c r="E33">
        <f t="shared" si="2"/>
        <v>-2.5000000000000001E-3</v>
      </c>
      <c r="F33">
        <f t="shared" si="2"/>
        <v>-2E-3</v>
      </c>
      <c r="G33">
        <f t="shared" si="2"/>
        <v>-1.5E-3</v>
      </c>
      <c r="H33">
        <f t="shared" si="2"/>
        <v>-1E-3</v>
      </c>
      <c r="I33">
        <f t="shared" si="2"/>
        <v>-5.0000000000000001E-4</v>
      </c>
      <c r="J33">
        <f t="shared" si="2"/>
        <v>0</v>
      </c>
      <c r="K33">
        <f t="shared" si="2"/>
        <v>0.5</v>
      </c>
      <c r="L33">
        <f t="shared" si="2"/>
        <v>1</v>
      </c>
      <c r="M33">
        <f t="shared" si="2"/>
        <v>1.5</v>
      </c>
      <c r="N33">
        <f t="shared" si="2"/>
        <v>2</v>
      </c>
    </row>
    <row r="34" spans="1:14">
      <c r="A34" t="s">
        <v>138</v>
      </c>
      <c r="B34">
        <f>1/(1+EXP(-B31))</f>
        <v>1.7986209962091559E-2</v>
      </c>
      <c r="C34">
        <f t="shared" ref="C34:N34" si="3">1/(1+EXP(-C31))</f>
        <v>2.9312230751356319E-2</v>
      </c>
      <c r="D34">
        <f t="shared" si="3"/>
        <v>4.7425873177566781E-2</v>
      </c>
      <c r="E34">
        <f t="shared" si="3"/>
        <v>7.5858180021243546E-2</v>
      </c>
      <c r="F34">
        <f t="shared" si="3"/>
        <v>0.11920292202211755</v>
      </c>
      <c r="G34">
        <f t="shared" si="3"/>
        <v>0.18242552380635635</v>
      </c>
      <c r="H34">
        <f t="shared" si="3"/>
        <v>0.2689414213699951</v>
      </c>
      <c r="I34">
        <f t="shared" si="3"/>
        <v>0.37754066879814541</v>
      </c>
      <c r="J34">
        <f t="shared" si="3"/>
        <v>0.5</v>
      </c>
      <c r="K34">
        <f t="shared" si="3"/>
        <v>0.62245933120185459</v>
      </c>
      <c r="L34">
        <f t="shared" si="3"/>
        <v>0.7310585786300049</v>
      </c>
      <c r="M34">
        <f t="shared" si="3"/>
        <v>0.81757447619364365</v>
      </c>
      <c r="N34">
        <f t="shared" si="3"/>
        <v>0.88079707797788231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35F6-6E16-44DE-A0F4-8B839E6DBFB3}">
  <dimension ref="A1:BB119"/>
  <sheetViews>
    <sheetView topLeftCell="J21" zoomScale="60" zoomScaleNormal="60" workbookViewId="0">
      <selection activeCell="AT35" sqref="AT35"/>
    </sheetView>
  </sheetViews>
  <sheetFormatPr defaultColWidth="9.125" defaultRowHeight="14.25"/>
  <cols>
    <col min="1" max="1" width="12.125" style="4" customWidth="1"/>
    <col min="2" max="2" width="9.25" style="4" customWidth="1"/>
    <col min="3" max="3" width="9" style="4" customWidth="1"/>
    <col min="4" max="5" width="9.125" style="4" customWidth="1"/>
    <col min="6" max="7" width="9.125" style="4"/>
    <col min="8" max="8" width="9.125" style="4" customWidth="1"/>
    <col min="9" max="9" width="9.125" style="4"/>
    <col min="10" max="10" width="9.125" style="4" customWidth="1"/>
    <col min="11" max="13" width="9.125" style="4"/>
    <col min="14" max="14" width="9.125" style="4" customWidth="1"/>
    <col min="15" max="18" width="9.125" style="4"/>
    <col min="19" max="19" width="9.125" style="4" customWidth="1"/>
    <col min="20" max="20" width="9.125" style="4"/>
    <col min="21" max="22" width="9.125" style="4" customWidth="1"/>
    <col min="23" max="23" width="9.75" style="4" customWidth="1"/>
    <col min="24" max="24" width="11.875" style="4" customWidth="1"/>
    <col min="25" max="25" width="12" style="4" customWidth="1"/>
    <col min="26" max="27" width="9.125" style="4"/>
    <col min="28" max="28" width="10.125" style="4" bestFit="1" customWidth="1"/>
    <col min="29" max="16384" width="9.125" style="4"/>
  </cols>
  <sheetData>
    <row r="1" spans="2:52">
      <c r="G1"/>
    </row>
    <row r="2" spans="2:52" s="14" customFormat="1" ht="30">
      <c r="C2" s="15"/>
      <c r="D2" s="15" t="s">
        <v>9</v>
      </c>
      <c r="E2" s="15" t="s">
        <v>10</v>
      </c>
      <c r="F2" s="16" t="s">
        <v>11</v>
      </c>
      <c r="G2" s="16" t="s">
        <v>12</v>
      </c>
      <c r="H2" s="16" t="s">
        <v>5</v>
      </c>
      <c r="I2" s="16" t="s">
        <v>6</v>
      </c>
      <c r="J2" s="16" t="s">
        <v>7</v>
      </c>
      <c r="K2" s="16" t="s">
        <v>8</v>
      </c>
      <c r="L2" s="16" t="s">
        <v>13</v>
      </c>
      <c r="M2" s="16" t="s">
        <v>14</v>
      </c>
      <c r="N2" s="16" t="s">
        <v>15</v>
      </c>
      <c r="O2" s="16" t="s">
        <v>16</v>
      </c>
      <c r="P2" s="16" t="s">
        <v>17</v>
      </c>
      <c r="Q2" s="16" t="s">
        <v>18</v>
      </c>
      <c r="R2" s="16" t="s">
        <v>19</v>
      </c>
      <c r="S2" s="16" t="s">
        <v>20</v>
      </c>
      <c r="T2" s="16" t="s">
        <v>21</v>
      </c>
      <c r="U2" s="16" t="s">
        <v>22</v>
      </c>
      <c r="V2" s="16" t="s">
        <v>23</v>
      </c>
      <c r="W2" s="16"/>
      <c r="X2" s="16" t="s">
        <v>24</v>
      </c>
      <c r="Y2" s="16" t="s">
        <v>25</v>
      </c>
      <c r="AQ2" s="4"/>
      <c r="AR2" s="4"/>
    </row>
    <row r="3" spans="2:52" ht="15">
      <c r="B3" s="17"/>
      <c r="C3" s="18"/>
      <c r="D3" s="19">
        <v>1000</v>
      </c>
      <c r="E3" s="9">
        <v>100</v>
      </c>
      <c r="F3" s="20">
        <v>0.36699999999999999</v>
      </c>
      <c r="G3" s="20">
        <v>0.55900000000000005</v>
      </c>
      <c r="H3" s="11">
        <v>21.23</v>
      </c>
      <c r="I3" s="11">
        <v>5.55</v>
      </c>
      <c r="J3" s="11">
        <v>2.74</v>
      </c>
      <c r="K3" s="11">
        <v>1.1100000000000001</v>
      </c>
      <c r="L3" s="21">
        <f>(G3/40*2+I3/24.3*2+J3/39.1+K3/23-H3/35.5-F3/80)/(H3/35.5)</f>
        <v>7.7262305452210727E-4</v>
      </c>
      <c r="M3" s="5">
        <f>I3/24.3*(24.3+35.5*2)+J3/39.1*(39.1+35.5)+K3/23*(23+35.5)</f>
        <v>29.817034037447506</v>
      </c>
      <c r="N3" s="2"/>
      <c r="O3" s="5">
        <f>100-M3</f>
        <v>70.182965962552487</v>
      </c>
      <c r="P3" s="12">
        <f>I3/24.3*(24.3+35.5*2)*10</f>
        <v>217.66049382716048</v>
      </c>
      <c r="Q3" s="5">
        <f>K3/23*(23+35.5)*10</f>
        <v>28.232608695652178</v>
      </c>
      <c r="R3" s="5">
        <f>J3/39.1*(39.1+35.5)*10</f>
        <v>52.277237851662406</v>
      </c>
      <c r="S3" s="5">
        <f>G3/40*(40+35.5*2)*10</f>
        <v>15.512250000000002</v>
      </c>
      <c r="T3" s="5">
        <f>I3/24.3*(24.3+35.5*2)/M3*100</f>
        <v>72.998707233522467</v>
      </c>
      <c r="U3" s="6">
        <f>K3/23*(23+35.5)/M3*100</f>
        <v>9.4686173883675249</v>
      </c>
      <c r="V3" s="5">
        <f>J3/39.1*(39.1+35.5)/M3*100</f>
        <v>17.532675378110014</v>
      </c>
      <c r="W3" s="6"/>
      <c r="X3" s="2"/>
      <c r="Y3" s="2"/>
      <c r="AJ3"/>
      <c r="AL3" s="8" t="s">
        <v>26</v>
      </c>
      <c r="AS3" s="22"/>
      <c r="AT3" s="22"/>
    </row>
    <row r="4" spans="2:52" ht="15.75" thickBot="1">
      <c r="B4" s="85" t="s">
        <v>27</v>
      </c>
      <c r="C4" s="7" t="s">
        <v>28</v>
      </c>
      <c r="D4" s="23">
        <v>114.86459414618093</v>
      </c>
      <c r="E4" s="2"/>
      <c r="F4" s="24"/>
      <c r="G4" s="24"/>
      <c r="H4" s="24"/>
      <c r="I4" s="24"/>
      <c r="J4" s="24"/>
      <c r="K4" s="24"/>
      <c r="L4" s="2"/>
      <c r="M4" s="2"/>
      <c r="N4" s="2"/>
      <c r="O4" s="2"/>
      <c r="P4" s="2"/>
      <c r="Q4" s="2"/>
      <c r="R4" s="2"/>
      <c r="S4" s="2"/>
      <c r="T4" s="2"/>
      <c r="U4" s="6"/>
      <c r="V4" s="2"/>
      <c r="W4" s="6"/>
      <c r="X4" s="2"/>
      <c r="Y4" s="2"/>
      <c r="AB4" s="4" t="s">
        <v>29</v>
      </c>
      <c r="AC4" s="4" t="s">
        <v>30</v>
      </c>
      <c r="AD4" s="4" t="s">
        <v>4</v>
      </c>
      <c r="AE4" s="4" t="s">
        <v>31</v>
      </c>
      <c r="AG4" s="4" t="s">
        <v>29</v>
      </c>
      <c r="AH4" s="4" t="s">
        <v>4</v>
      </c>
      <c r="AI4" s="4" t="s">
        <v>30</v>
      </c>
      <c r="AJ4"/>
      <c r="AL4" s="25"/>
      <c r="AM4" s="25" t="s">
        <v>32</v>
      </c>
      <c r="AN4" s="25"/>
      <c r="AO4" s="25"/>
      <c r="AP4" s="25"/>
      <c r="AQ4"/>
      <c r="AR4"/>
      <c r="AS4" s="26" t="s">
        <v>33</v>
      </c>
    </row>
    <row r="5" spans="2:52" ht="16.5" thickTop="1" thickBot="1">
      <c r="B5" s="85"/>
      <c r="C5" s="7" t="s">
        <v>34</v>
      </c>
      <c r="D5" s="5">
        <f>D3-D4</f>
        <v>885.13540585381907</v>
      </c>
      <c r="E5" s="2">
        <f>E3</f>
        <v>100</v>
      </c>
      <c r="F5" s="6">
        <f>F3*D3/D5</f>
        <v>0.41462582738511577</v>
      </c>
      <c r="G5" s="6">
        <f>G3*D3/D5</f>
        <v>0.63154179157569412</v>
      </c>
      <c r="H5" s="5">
        <f>H3*D3/D5</f>
        <v>23.985030832114465</v>
      </c>
      <c r="I5" s="6">
        <f>I3*D3/D5</f>
        <v>6.2702270898839041</v>
      </c>
      <c r="J5" s="6">
        <f>J3*D3/D5</f>
        <v>3.0955715723030446</v>
      </c>
      <c r="K5" s="6">
        <f>K3*D3/D5</f>
        <v>1.2540454179767808</v>
      </c>
      <c r="L5" s="2"/>
      <c r="M5" s="5">
        <f>I5/24.3*(24.3+35.5*2)+J5/39.1*(39.1+35.5)+K5/23*(23+35.5)</f>
        <v>33.686409830917796</v>
      </c>
      <c r="N5" s="5">
        <f>100-O5</f>
        <v>33.686410604977667</v>
      </c>
      <c r="O5" s="27">
        <f>AE5</f>
        <v>66.313589395022333</v>
      </c>
      <c r="P5" s="12">
        <f>I5/24.3*(24.3+35.5*2)*10</f>
        <v>245.90643689956212</v>
      </c>
      <c r="Q5" s="5">
        <f>K5/23*(23+35.5)*10</f>
        <v>31.896372587670292</v>
      </c>
      <c r="R5" s="5">
        <f>J5/39.1*(39.1+35.5)*10</f>
        <v>59.061288821945553</v>
      </c>
      <c r="S5" s="5">
        <f>G5/40*(40+35.5*2)*10</f>
        <v>17.52528471622551</v>
      </c>
      <c r="T5" s="5">
        <f>I5/24.3*(24.3+35.5*2)/M5*100</f>
        <v>72.998707233522467</v>
      </c>
      <c r="U5" s="6">
        <f>K5/23*(23+35.5)/M5*100</f>
        <v>9.4686173883675249</v>
      </c>
      <c r="V5" s="5">
        <f>J5/39.1*(39.1+35.5)/M5*100</f>
        <v>17.532675378110014</v>
      </c>
      <c r="W5" s="6"/>
      <c r="X5" s="2"/>
      <c r="Y5" s="2"/>
      <c r="Z5" s="28">
        <f>(N5-M5)^2</f>
        <v>5.9916868299945126E-13</v>
      </c>
      <c r="AB5" s="22">
        <f>T5</f>
        <v>72.998707233522467</v>
      </c>
      <c r="AC5" s="29">
        <f>U5</f>
        <v>9.4686173883675249</v>
      </c>
      <c r="AD5" s="4">
        <f>E5</f>
        <v>100</v>
      </c>
      <c r="AE5" s="25" cm="1">
        <f t="array" ref="AE5">(MMULT(1/(1+EXP(-(MMULT(((AB5:AD5-$AN$5:$AP$5)/$AN$6:$AP$6),$AN$11:$AO$13)+$AN$14:$AO$14))),$AN$15:$AN$16)+$AN$17)*$AN$8+$AN$7</f>
        <v>66.313589395022333</v>
      </c>
      <c r="AG5" s="22">
        <f>T5</f>
        <v>72.998707233522467</v>
      </c>
      <c r="AH5" s="4">
        <f>E5</f>
        <v>100</v>
      </c>
      <c r="AI5" s="30" cm="1">
        <f t="array" ref="AI5">(MMULT(1/(1+EXP(-(MMULT(((AG5:AH5-$AN$21:$AO$21)/$AN$22:$AO$22),$AN$27:$AQ$28)+$AN$29:$AQ$29))),$AN$30:$AN$33)+$AN$34)*$AN$24+$AN$23</f>
        <v>5.4816961918763702</v>
      </c>
      <c r="AJ5"/>
      <c r="AL5" s="25"/>
      <c r="AM5" s="31" t="s">
        <v>35</v>
      </c>
      <c r="AN5" s="32">
        <v>80.519565</v>
      </c>
      <c r="AO5" s="32">
        <v>10.222826</v>
      </c>
      <c r="AP5" s="32">
        <v>82.391304000000005</v>
      </c>
      <c r="AQ5"/>
      <c r="AR5"/>
      <c r="AS5" s="26" t="s">
        <v>36</v>
      </c>
      <c r="AT5" s="22"/>
      <c r="AU5" s="22"/>
    </row>
    <row r="6" spans="2:52" ht="15.75" thickTop="1">
      <c r="B6" s="85" t="s">
        <v>37</v>
      </c>
      <c r="C6" s="7" t="s">
        <v>28</v>
      </c>
      <c r="D6" s="23">
        <v>107.69413795762584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6"/>
      <c r="V6" s="2"/>
      <c r="W6" s="6"/>
      <c r="X6" s="2"/>
      <c r="Y6" s="2"/>
      <c r="AJ6"/>
      <c r="AL6" s="25"/>
      <c r="AM6" s="31" t="s">
        <v>38</v>
      </c>
      <c r="AN6" s="32">
        <v>6.5252559999999997</v>
      </c>
      <c r="AO6" s="32">
        <v>8.1093089999999997</v>
      </c>
      <c r="AP6" s="32">
        <v>17.343685000000001</v>
      </c>
      <c r="AQ6"/>
      <c r="AR6"/>
      <c r="AS6" s="26"/>
    </row>
    <row r="7" spans="2:52" ht="15">
      <c r="B7" s="85"/>
      <c r="C7" s="7" t="s">
        <v>2</v>
      </c>
      <c r="D7" s="33">
        <v>14.109547757915363</v>
      </c>
      <c r="E7" s="2"/>
      <c r="F7" s="2"/>
      <c r="G7" s="2"/>
      <c r="H7" s="5">
        <f>100-K7</f>
        <v>60.683760683760688</v>
      </c>
      <c r="I7" s="2"/>
      <c r="J7" s="2"/>
      <c r="K7" s="11">
        <f>100/(23+35.5)*23</f>
        <v>39.316239316239312</v>
      </c>
      <c r="L7" s="2"/>
      <c r="M7" s="2"/>
      <c r="N7" s="2"/>
      <c r="O7" s="2"/>
      <c r="P7" s="2"/>
      <c r="Q7" s="2"/>
      <c r="R7" s="2"/>
      <c r="S7" s="2"/>
      <c r="T7" s="2"/>
      <c r="U7" s="6"/>
      <c r="V7" s="2"/>
      <c r="W7" s="6"/>
      <c r="X7" s="2"/>
      <c r="Y7" s="2"/>
      <c r="AJ7"/>
      <c r="AL7" s="25"/>
      <c r="AM7" s="31" t="s">
        <v>39</v>
      </c>
      <c r="AN7" s="32">
        <v>67.113043000000005</v>
      </c>
      <c r="AO7" s="32" t="s">
        <v>40</v>
      </c>
      <c r="AP7" s="32" t="s">
        <v>40</v>
      </c>
      <c r="AQ7"/>
      <c r="AR7"/>
      <c r="AS7"/>
    </row>
    <row r="8" spans="2:52" ht="15">
      <c r="B8" s="85"/>
      <c r="C8" s="7" t="s">
        <v>41</v>
      </c>
      <c r="D8" s="2"/>
      <c r="E8" s="2"/>
      <c r="F8" s="2"/>
      <c r="G8" s="2"/>
      <c r="H8" s="3"/>
      <c r="I8" s="3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6"/>
      <c r="V8" s="2"/>
      <c r="W8" s="6"/>
      <c r="X8" s="2"/>
      <c r="Y8" s="2"/>
      <c r="AJ8"/>
      <c r="AL8" s="25"/>
      <c r="AM8" s="31" t="s">
        <v>42</v>
      </c>
      <c r="AN8" s="32">
        <v>3.1377510000000002</v>
      </c>
      <c r="AO8" s="32" t="s">
        <v>40</v>
      </c>
      <c r="AP8" s="32" t="s">
        <v>40</v>
      </c>
      <c r="AQ8"/>
      <c r="AR8"/>
      <c r="AS8" s="26"/>
    </row>
    <row r="9" spans="2:52" ht="15.75" thickBot="1">
      <c r="B9" s="85"/>
      <c r="C9" s="7" t="s">
        <v>43</v>
      </c>
      <c r="D9" s="2"/>
      <c r="E9" s="2"/>
      <c r="F9" s="2"/>
      <c r="G9" s="2"/>
      <c r="H9" s="3"/>
      <c r="I9" s="3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6"/>
      <c r="V9" s="2"/>
      <c r="W9" s="6"/>
      <c r="X9" s="2"/>
      <c r="Y9" s="2"/>
      <c r="AB9" s="4" t="s">
        <v>29</v>
      </c>
      <c r="AC9" s="4" t="s">
        <v>30</v>
      </c>
      <c r="AD9" s="4" t="s">
        <v>4</v>
      </c>
      <c r="AE9" s="4" t="s">
        <v>31</v>
      </c>
      <c r="AG9" s="4" t="s">
        <v>29</v>
      </c>
      <c r="AH9" s="4" t="s">
        <v>4</v>
      </c>
      <c r="AI9" s="4" t="s">
        <v>30</v>
      </c>
      <c r="AJ9"/>
      <c r="AL9" s="25"/>
      <c r="AM9" s="25"/>
      <c r="AN9" s="25"/>
      <c r="AO9" s="25"/>
      <c r="AP9" s="25"/>
      <c r="AQ9"/>
      <c r="AR9"/>
      <c r="AS9" s="26"/>
    </row>
    <row r="10" spans="2:52" ht="16.5" thickTop="1" thickBot="1">
      <c r="B10" s="85"/>
      <c r="C10" s="7" t="s">
        <v>44</v>
      </c>
      <c r="D10" s="5">
        <f>D5-D6-D7-D8-D9</f>
        <v>763.33172013827789</v>
      </c>
      <c r="E10" s="4">
        <f>E5</f>
        <v>100</v>
      </c>
      <c r="F10" s="6">
        <f>(D5*F5-D7*F7-D8*F8-D9*F9)/D10</f>
        <v>0.48078704227503843</v>
      </c>
      <c r="G10" s="6">
        <f>(D5*G5-D7*G7-D8*G8-D9*G9)/D10</f>
        <v>0.73231595812464978</v>
      </c>
      <c r="H10" s="6">
        <f>(D5*H5-D7*H7-D8*H8-D9*H9)/D10</f>
        <v>26.690597341889383</v>
      </c>
      <c r="I10" s="6">
        <f>(D5*I5-D7*I7-D8*I8-D9*I9)/D10</f>
        <v>7.2707577237778285</v>
      </c>
      <c r="J10" s="6">
        <f>(D5*J5-D7*J7-D8*J8-D9*J9)/D10</f>
        <v>3.5895272366038289</v>
      </c>
      <c r="K10" s="6">
        <f>(D5*K5-D7*K7-D8*K8-D9*K9)/D10</f>
        <v>0.72742377796812263</v>
      </c>
      <c r="L10" s="21">
        <f>(G10/40*2+I10/24.3*2+J10/39.1+K10/23-H10/35.5-F10/80)/(H10/35.5)</f>
        <v>8.0509300607159678E-4</v>
      </c>
      <c r="M10" s="5">
        <f>I10/24.3*(24.3+35.5*2)+J10/39.1*(39.1+35.5)+K10/23*(23+35.5)</f>
        <v>37.213282917825282</v>
      </c>
      <c r="N10" s="5">
        <f>100-O10</f>
        <v>37.213283642152305</v>
      </c>
      <c r="O10" s="27">
        <f>AE10</f>
        <v>62.786716357847695</v>
      </c>
      <c r="P10" s="12">
        <f>I10/24.3*(24.3+35.5*2)*10</f>
        <v>285.14535435227447</v>
      </c>
      <c r="Q10" s="5">
        <f>K10/23*(23+35.5)*10</f>
        <v>18.501865657015291</v>
      </c>
      <c r="R10" s="5">
        <f>J10/39.1*(39.1+35.5)*10</f>
        <v>68.485609168963066</v>
      </c>
      <c r="S10" s="5">
        <f>G10/40*(40+35.5*2)*10</f>
        <v>20.32176783795903</v>
      </c>
      <c r="T10" s="5">
        <f>I10/24.3*(24.3+35.5*2)/M10*100</f>
        <v>76.624616801999196</v>
      </c>
      <c r="U10" s="6">
        <f>K10/23*(23+35.5)/M10*100</f>
        <v>4.971844515269261</v>
      </c>
      <c r="V10" s="5">
        <f>J10/39.1*(39.1+35.5)/M10*100</f>
        <v>18.403538682731547</v>
      </c>
      <c r="W10" s="6"/>
      <c r="X10" s="34">
        <f>AI10</f>
        <v>4.9718445309930512</v>
      </c>
      <c r="Y10" s="2"/>
      <c r="Z10" s="28">
        <f>(N10-M10)^2+(U10-X10)^2</f>
        <v>5.2489687418966434E-13</v>
      </c>
      <c r="AB10" s="22">
        <f>T10</f>
        <v>76.624616801999196</v>
      </c>
      <c r="AC10" s="29">
        <f>U10</f>
        <v>4.971844515269261</v>
      </c>
      <c r="AD10" s="4">
        <f>E10</f>
        <v>100</v>
      </c>
      <c r="AE10" s="25" cm="1">
        <f t="array" ref="AE10">(MMULT(1/(1+EXP(-(MMULT(((AB10:AD10-$AN$5:$AP$5)/$AN$6:$AP$6),$AN$11:$AO$13)+$AN$14:$AO$14))),$AN$15:$AN$16)+$AN$17)*$AN$8+$AN$7</f>
        <v>62.786716357847695</v>
      </c>
      <c r="AG10" s="22">
        <f>T10</f>
        <v>76.624616801999196</v>
      </c>
      <c r="AH10" s="4">
        <f>E10</f>
        <v>100</v>
      </c>
      <c r="AI10" s="30" cm="1">
        <f t="array" ref="AI10">(MMULT(1/(1+EXP(-(MMULT(((AG10:AH10-$AN$21:$AO$21)/$AN$22:$AO$22),$AN$27:$AQ$28)+$AN$29:$AQ$29))),$AN$30:$AN$33)+$AN$34)*$AN$24+$AN$23</f>
        <v>4.9718445309930512</v>
      </c>
      <c r="AJ10"/>
      <c r="AL10" s="25"/>
      <c r="AM10" s="25" t="s">
        <v>45</v>
      </c>
      <c r="AN10" s="35"/>
      <c r="AO10" s="35"/>
      <c r="AP10" s="25"/>
      <c r="AQ10"/>
      <c r="AR10"/>
      <c r="AS10" s="36"/>
      <c r="AT10" s="22"/>
      <c r="AU10" s="22"/>
    </row>
    <row r="11" spans="2:52" ht="15.75" thickTop="1">
      <c r="B11" s="85" t="s">
        <v>46</v>
      </c>
      <c r="C11" s="7" t="s">
        <v>28</v>
      </c>
      <c r="D11" s="23">
        <v>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AJ11"/>
      <c r="AL11" s="25"/>
      <c r="AM11" s="37" t="s">
        <v>47</v>
      </c>
      <c r="AN11" s="32">
        <v>0.185693</v>
      </c>
      <c r="AO11" s="32">
        <v>-2.1947290000000002</v>
      </c>
      <c r="AP11" s="25"/>
      <c r="AQ11" s="36"/>
      <c r="AR11"/>
      <c r="AS11" s="36"/>
      <c r="AW11"/>
      <c r="AX11"/>
      <c r="AY11"/>
      <c r="AZ11"/>
    </row>
    <row r="12" spans="2:52" ht="15">
      <c r="B12" s="85"/>
      <c r="C12" s="7" t="s">
        <v>2</v>
      </c>
      <c r="D12" s="33">
        <v>3.6835948372244626E-3</v>
      </c>
      <c r="E12" s="2"/>
      <c r="F12" s="2"/>
      <c r="G12" s="2"/>
      <c r="H12" s="5">
        <f>100-K12</f>
        <v>60.683760683760688</v>
      </c>
      <c r="I12" s="2"/>
      <c r="J12" s="2"/>
      <c r="K12" s="11">
        <f>100/(23+35.5)*23</f>
        <v>39.316239316239312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AJ12"/>
      <c r="AL12" s="25"/>
      <c r="AM12" s="38">
        <v>1</v>
      </c>
      <c r="AN12" s="32">
        <v>-0.59180100000000002</v>
      </c>
      <c r="AO12" s="32">
        <v>-3.5122990000000001</v>
      </c>
      <c r="AP12" s="25"/>
      <c r="AQ12" s="36"/>
      <c r="AR12"/>
      <c r="AS12" s="36"/>
      <c r="AW12"/>
      <c r="AX12"/>
      <c r="AY12"/>
      <c r="AZ12"/>
    </row>
    <row r="13" spans="2:52" ht="15">
      <c r="B13" s="85"/>
      <c r="C13" s="7" t="s">
        <v>41</v>
      </c>
      <c r="D13" s="33">
        <v>1.6153730277060016E-3</v>
      </c>
      <c r="E13" s="2"/>
      <c r="F13" s="2"/>
      <c r="G13" s="2"/>
      <c r="H13" s="5">
        <f>100-J13</f>
        <v>47.587131367292223</v>
      </c>
      <c r="I13" s="2"/>
      <c r="J13" s="10">
        <f>100/(39.1+35.5)*39.1</f>
        <v>52.412868632707777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AJ13"/>
      <c r="AL13" s="25"/>
      <c r="AM13" s="38">
        <v>2</v>
      </c>
      <c r="AN13" s="32">
        <v>0.41105799999999998</v>
      </c>
      <c r="AO13" s="39">
        <v>-0.64581599999999995</v>
      </c>
      <c r="AP13" s="25"/>
      <c r="AQ13"/>
      <c r="AR13"/>
      <c r="AS13" s="36"/>
      <c r="AW13"/>
      <c r="AX13"/>
      <c r="AY13"/>
      <c r="AZ13"/>
    </row>
    <row r="14" spans="2:52" ht="15.75" thickBot="1">
      <c r="B14" s="85"/>
      <c r="C14" s="7" t="s">
        <v>43</v>
      </c>
      <c r="D14" s="2"/>
      <c r="E14" s="2"/>
      <c r="F14" s="2"/>
      <c r="G14" s="2"/>
      <c r="H14" s="3"/>
      <c r="I14" s="3"/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AB14" s="4" t="s">
        <v>29</v>
      </c>
      <c r="AC14" s="4" t="s">
        <v>30</v>
      </c>
      <c r="AD14" s="4" t="s">
        <v>4</v>
      </c>
      <c r="AE14" s="4" t="s">
        <v>31</v>
      </c>
      <c r="AG14" s="4" t="s">
        <v>29</v>
      </c>
      <c r="AH14" s="4" t="s">
        <v>4</v>
      </c>
      <c r="AI14" s="4" t="s">
        <v>30</v>
      </c>
      <c r="AJ14"/>
      <c r="AL14" s="25"/>
      <c r="AM14" s="37" t="s">
        <v>48</v>
      </c>
      <c r="AN14" s="32">
        <v>-1.848328</v>
      </c>
      <c r="AO14" s="32">
        <v>-3.4884710000000001</v>
      </c>
      <c r="AP14" s="25"/>
      <c r="AR14"/>
      <c r="AS14" t="s">
        <v>29</v>
      </c>
      <c r="AT14" s="40">
        <v>60</v>
      </c>
      <c r="AW14"/>
      <c r="AX14"/>
      <c r="AY14"/>
      <c r="AZ14"/>
    </row>
    <row r="15" spans="2:52" ht="16.5" thickTop="1" thickBot="1">
      <c r="B15" s="85"/>
      <c r="C15" s="7" t="s">
        <v>49</v>
      </c>
      <c r="D15" s="5">
        <f>D10-D11-D12-D13-D14</f>
        <v>763.32642117041303</v>
      </c>
      <c r="E15" s="4">
        <f>E10</f>
        <v>100</v>
      </c>
      <c r="F15" s="6">
        <f>(D10*F10-D12*F12-D13*F13-D14*F14)/D15</f>
        <v>0.48079037987087708</v>
      </c>
      <c r="G15" s="6">
        <f>(D10*G10-D12*G12-D13*G13-D14*G14)/D15</f>
        <v>0.73232104181967383</v>
      </c>
      <c r="H15" s="6">
        <f>(D10*H10-D12*H12-D13*H13-D14*H14)/D15</f>
        <v>26.690389078774132</v>
      </c>
      <c r="I15" s="6">
        <f>(D10*I10-D12*I12-D13*I13-D14*I14)/D15</f>
        <v>7.2708081969574057</v>
      </c>
      <c r="J15" s="6">
        <f>(D10*J10-D12*J12-D13*J13-D14*J14)/D15</f>
        <v>3.5894412372947566</v>
      </c>
      <c r="K15" s="6">
        <f>(D10*K10-D12*K12-D13*K13-D14*K14)/D15</f>
        <v>0.72723909878365967</v>
      </c>
      <c r="L15" s="21">
        <f>(G15/40*2+I15/24.3*2+J15/39.1+K15/23-H15/35.5-F15/80)/(H15/35.5)</f>
        <v>8.0510487710506648E-4</v>
      </c>
      <c r="M15" s="5">
        <f>I15/24.3*(24.3+35.5*2)+J15/39.1*(39.1+35.5)+K15/23*(23+35.5)</f>
        <v>37.212847056066884</v>
      </c>
      <c r="N15" s="5">
        <f>100-O15</f>
        <v>37.214080788948536</v>
      </c>
      <c r="O15" s="27">
        <f>AE15</f>
        <v>62.785919211051464</v>
      </c>
      <c r="P15" s="12">
        <f>I15/24.3*(24.3+35.5*2)*10</f>
        <v>285.1473338148316</v>
      </c>
      <c r="Q15" s="5">
        <f>K15/23*(23+35.5)*10</f>
        <v>18.497168382106125</v>
      </c>
      <c r="R15" s="5">
        <f>J15/39.1*(39.1+35.5)*10</f>
        <v>68.483968363731151</v>
      </c>
      <c r="S15" s="5">
        <f>G15/40*(40+35.5*2)*10</f>
        <v>20.321908910495949</v>
      </c>
      <c r="T15" s="5">
        <f>I15/24.3*(24.3+35.5*2)/M15*100</f>
        <v>76.626046210657634</v>
      </c>
      <c r="U15" s="6">
        <f>K15/23*(23+35.5)/M15*100</f>
        <v>4.970640476456234</v>
      </c>
      <c r="V15" s="5">
        <f>J15/39.1*(39.1+35.5)/M15*100</f>
        <v>18.403313312886141</v>
      </c>
      <c r="W15" s="5"/>
      <c r="X15" s="34">
        <f>AI15</f>
        <v>4.9715796500219778</v>
      </c>
      <c r="Y15" s="41"/>
      <c r="Z15" s="28"/>
      <c r="AB15" s="22">
        <f>T15</f>
        <v>76.626046210657634</v>
      </c>
      <c r="AC15" s="29">
        <f>U15</f>
        <v>4.970640476456234</v>
      </c>
      <c r="AD15" s="4">
        <f>E15</f>
        <v>100</v>
      </c>
      <c r="AE15" s="25" cm="1">
        <f t="array" ref="AE15">(MMULT(1/(1+EXP(-(MMULT(((AB15:AD15-$AN$5:$AP$5)/$AN$6:$AP$6),$AN$11:$AO$13)+$AN$14:$AO$14))),$AN$15:$AN$16)+$AN$17)*$AN$8+$AN$7</f>
        <v>62.785919211051464</v>
      </c>
      <c r="AG15" s="22">
        <f>T15</f>
        <v>76.626046210657634</v>
      </c>
      <c r="AH15" s="4">
        <f>E15</f>
        <v>100</v>
      </c>
      <c r="AI15" s="30" cm="1">
        <f t="array" ref="AI15">(MMULT(1/(1+EXP(-(MMULT(((AG15:AH15-$AN$21:$AO$21)/$AN$22:$AO$22),$AN$27:$AQ$28)+$AN$29:$AQ$29))),$AN$30:$AN$33)+$AN$34)*$AN$24+$AN$23</f>
        <v>4.9715796500219778</v>
      </c>
      <c r="AJ15"/>
      <c r="AL15" s="25"/>
      <c r="AM15" s="37" t="s">
        <v>50</v>
      </c>
      <c r="AN15" s="32">
        <v>-9.6244999999999994</v>
      </c>
      <c r="AO15" s="32" t="s">
        <v>40</v>
      </c>
      <c r="AP15" s="25"/>
      <c r="AR15"/>
      <c r="AS15" t="s">
        <v>30</v>
      </c>
      <c r="AT15" s="40">
        <v>40</v>
      </c>
      <c r="AU15" s="22"/>
      <c r="AW15"/>
      <c r="AX15"/>
      <c r="AY15"/>
      <c r="AZ15"/>
    </row>
    <row r="16" spans="2:52" ht="15.75" thickTop="1">
      <c r="B16" s="85" t="s">
        <v>51</v>
      </c>
      <c r="C16" s="7" t="s">
        <v>28</v>
      </c>
      <c r="D16" s="23">
        <v>1.859664865365515E-4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5"/>
      <c r="U16" s="6"/>
      <c r="V16" s="2"/>
      <c r="W16" s="2"/>
      <c r="X16" s="2"/>
      <c r="Y16" s="2"/>
      <c r="AJ16"/>
      <c r="AL16" s="25"/>
      <c r="AM16" s="38">
        <v>1</v>
      </c>
      <c r="AN16" s="32">
        <v>-3.0860050000000001</v>
      </c>
      <c r="AO16" s="32" t="s">
        <v>40</v>
      </c>
      <c r="AP16" s="25"/>
      <c r="AR16"/>
      <c r="AS16" t="s">
        <v>4</v>
      </c>
      <c r="AT16" s="9">
        <v>60</v>
      </c>
      <c r="AW16"/>
      <c r="AX16"/>
      <c r="AY16"/>
      <c r="AZ16"/>
    </row>
    <row r="17" spans="1:54" ht="15">
      <c r="B17" s="85"/>
      <c r="C17" s="7" t="s">
        <v>2</v>
      </c>
      <c r="D17" s="33">
        <v>4.5357124290259008E-4</v>
      </c>
      <c r="E17" s="2"/>
      <c r="F17" s="2"/>
      <c r="G17" s="2"/>
      <c r="H17" s="5">
        <f>100-K17</f>
        <v>60.683760683760688</v>
      </c>
      <c r="I17" s="2"/>
      <c r="J17" s="2"/>
      <c r="K17" s="11">
        <f>100/(23+35.5)*23</f>
        <v>39.316239316239312</v>
      </c>
      <c r="L17" s="2"/>
      <c r="M17" s="2"/>
      <c r="N17" s="2"/>
      <c r="O17" s="2"/>
      <c r="P17" s="2"/>
      <c r="Q17" s="2"/>
      <c r="R17" s="2"/>
      <c r="S17" s="2"/>
      <c r="T17" s="5"/>
      <c r="U17" s="6"/>
      <c r="V17" s="2"/>
      <c r="W17" s="2"/>
      <c r="X17" s="2"/>
      <c r="Y17" s="2"/>
      <c r="AJ17"/>
      <c r="AL17" s="25"/>
      <c r="AM17" s="37" t="s">
        <v>52</v>
      </c>
      <c r="AN17" s="32">
        <v>2.0427059999999999</v>
      </c>
      <c r="AO17" s="32" t="s">
        <v>40</v>
      </c>
      <c r="AP17" s="25"/>
      <c r="AR17"/>
      <c r="AS17" t="s">
        <v>31</v>
      </c>
      <c r="AT17" s="1" cm="1">
        <f t="array" ref="AT17">(MMULT(1/(1+EXP(-(MMULT(((TRANSPOSE(AT14:AT16)-$AN$5:$AP$5)/$AN$6:$AP$6),$AN$11:$AO$13)+$AN$14:$AO$14))),$AN$15:$AN$16)+$AN$17)*$AN$8+$AN$7</f>
        <v>73.344287821528624</v>
      </c>
      <c r="AW17"/>
      <c r="AX17"/>
      <c r="AY17"/>
      <c r="AZ17"/>
    </row>
    <row r="18" spans="1:54">
      <c r="A18" s="42"/>
      <c r="B18" s="85"/>
      <c r="C18" s="7" t="s">
        <v>41</v>
      </c>
      <c r="D18" s="29">
        <f>-D13</f>
        <v>-1.6153730277060016E-3</v>
      </c>
      <c r="E18" s="2"/>
      <c r="F18" s="2"/>
      <c r="G18" s="2"/>
      <c r="H18" s="5">
        <f>100-J18</f>
        <v>47.587131367292223</v>
      </c>
      <c r="I18" s="2"/>
      <c r="J18" s="10">
        <f>100/(39.1+35.5)*39.1</f>
        <v>52.412868632707777</v>
      </c>
      <c r="K18" s="2"/>
      <c r="L18" s="2"/>
      <c r="M18" s="2"/>
      <c r="N18" s="2"/>
      <c r="O18" s="2"/>
      <c r="P18" s="2"/>
      <c r="Q18" s="2"/>
      <c r="R18" s="2"/>
      <c r="S18" s="2"/>
      <c r="T18" s="5"/>
      <c r="U18" s="6"/>
      <c r="V18" s="2"/>
      <c r="W18" s="2"/>
      <c r="X18" s="2"/>
      <c r="Y18" s="2"/>
      <c r="AJ18"/>
      <c r="AL18"/>
      <c r="AM18"/>
      <c r="AN18"/>
      <c r="AO18"/>
      <c r="AP18"/>
      <c r="AR18"/>
      <c r="AW18"/>
      <c r="AX18"/>
      <c r="AY18"/>
      <c r="AZ18"/>
    </row>
    <row r="19" spans="1:54" ht="15.75" thickBot="1">
      <c r="A19" s="42"/>
      <c r="B19" s="85"/>
      <c r="C19" s="7" t="s">
        <v>43</v>
      </c>
      <c r="D19" s="43">
        <v>1.3886874610447375E-2</v>
      </c>
      <c r="E19" s="2"/>
      <c r="F19" s="2"/>
      <c r="G19" s="2"/>
      <c r="H19" s="10">
        <f>100/278*35.5*3</f>
        <v>38.309352517985609</v>
      </c>
      <c r="I19" s="11">
        <f>100/278*24.3</f>
        <v>8.7410071942446042</v>
      </c>
      <c r="J19" s="10">
        <f>100/278*39.1</f>
        <v>14.064748201438849</v>
      </c>
      <c r="K19" s="2"/>
      <c r="L19" s="2"/>
      <c r="M19" s="2"/>
      <c r="N19" s="2"/>
      <c r="O19" s="44"/>
      <c r="P19" s="2"/>
      <c r="Q19" s="2"/>
      <c r="R19" s="2"/>
      <c r="S19" s="2"/>
      <c r="T19" s="5"/>
      <c r="U19" s="6"/>
      <c r="V19" s="2"/>
      <c r="W19" s="2"/>
      <c r="X19" s="2"/>
      <c r="Y19" s="2"/>
      <c r="AJ19"/>
      <c r="AL19" s="8" t="s">
        <v>53</v>
      </c>
      <c r="AM19" s="45"/>
      <c r="AN19" s="45"/>
      <c r="AO19" s="45"/>
      <c r="AQ19" s="46"/>
      <c r="AR19"/>
      <c r="AS19" s="46"/>
      <c r="AT19" s="46"/>
      <c r="AU19" s="46"/>
      <c r="AW19"/>
      <c r="AX19"/>
      <c r="AY19"/>
      <c r="AZ19"/>
    </row>
    <row r="20" spans="1:54" ht="16.5" thickTop="1" thickBot="1">
      <c r="B20" s="85"/>
      <c r="C20" s="7" t="s">
        <v>49</v>
      </c>
      <c r="D20" s="5">
        <f>D15-D16-D17-D18-D19</f>
        <v>763.31351013110077</v>
      </c>
      <c r="E20" s="4">
        <f>E15</f>
        <v>100</v>
      </c>
      <c r="F20" s="6">
        <f>(D15*F15-D17*F17-D18*F18-D19*F19)/D20</f>
        <v>0.4807985121827163</v>
      </c>
      <c r="G20" s="6">
        <f>(D15*G15-D17*G17-D18*G18-D19*G19)/D20</f>
        <v>0.73233342863797934</v>
      </c>
      <c r="H20" s="6">
        <f>(D15*H15-D17*H17-D18*H18-D19*H19)/D20</f>
        <v>26.690208222611339</v>
      </c>
      <c r="I20" s="6">
        <f>(D15*I15-D17*I17-D18*I18-D19*I19)/D20</f>
        <v>7.270772154649694</v>
      </c>
      <c r="J20" s="6">
        <f>(D15*J15-D17*J17-D18*J18-D19*J19)/D20</f>
        <v>3.5893569919058965</v>
      </c>
      <c r="K20" s="6">
        <f>(D15*K15-D17*K17-D18*K18-D19*K19)/D20</f>
        <v>0.72722803740085029</v>
      </c>
      <c r="L20" s="21">
        <f>(G20/40*2+I20/24.3*2+J20/39.1+K20/23-H20/35.5-F20/80)/(H20/35.5)</f>
        <v>8.0512395060564762E-4</v>
      </c>
      <c r="M20" s="5">
        <f>I20/24.3*(24.3+35.5*2)+J20/39.1*(39.1+35.5)+K20/23*(23+35.5)</f>
        <v>37.212516836403125</v>
      </c>
      <c r="N20" s="47"/>
      <c r="O20" s="3"/>
      <c r="P20" s="48">
        <f>I20/24.3*(24.3+35.5*2)*10</f>
        <v>285.14592030375132</v>
      </c>
      <c r="Q20" s="5">
        <f>K20/23*(23+35.5)*10</f>
        <v>18.496887038239016</v>
      </c>
      <c r="R20" s="5">
        <f>J20/39.1*(39.1+35.5)*10</f>
        <v>68.482361022040877</v>
      </c>
      <c r="S20" s="5">
        <f>G20/40*(40+35.5*2)*10</f>
        <v>20.322252644703926</v>
      </c>
      <c r="T20" s="5">
        <f>I20/24.3*(24.3+35.5*2)/M20*100</f>
        <v>76.626346333233627</v>
      </c>
      <c r="U20" s="6">
        <f>K20/23*(23+35.5)/M20*100</f>
        <v>4.9706089807245846</v>
      </c>
      <c r="V20" s="5">
        <f>J20/39.1*(39.1+35.5)/M20*100</f>
        <v>18.403044686041781</v>
      </c>
      <c r="W20" s="5"/>
      <c r="X20" s="3"/>
      <c r="Y20" s="3"/>
      <c r="Z20" s="28">
        <f>((M15-M20)/M15)^2+((U15-U20)/U15)^2+((T15-T20)/T15)^2</f>
        <v>1.3423451289103464E-10</v>
      </c>
      <c r="AJ20"/>
      <c r="AL20" s="49"/>
      <c r="AM20" s="50" t="s">
        <v>32</v>
      </c>
      <c r="AN20" s="49"/>
      <c r="AO20" s="49"/>
      <c r="AP20" s="49"/>
      <c r="AQ20" s="49"/>
      <c r="AR20"/>
      <c r="AS20"/>
      <c r="AT20"/>
      <c r="AU20" s="51"/>
      <c r="AW20"/>
      <c r="AX20"/>
      <c r="AY20"/>
      <c r="AZ20"/>
    </row>
    <row r="21" spans="1:54" ht="15.75" thickTop="1">
      <c r="B21" s="85" t="s">
        <v>54</v>
      </c>
      <c r="C21" s="7" t="s">
        <v>28</v>
      </c>
      <c r="D21" s="10">
        <v>25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4"/>
      <c r="P21" s="2"/>
      <c r="Q21" s="2"/>
      <c r="R21" s="2"/>
      <c r="S21" s="2"/>
      <c r="T21" s="2"/>
      <c r="U21" s="2"/>
      <c r="V21" s="2"/>
      <c r="W21" s="2"/>
      <c r="X21" s="2"/>
      <c r="Y21" s="2"/>
      <c r="AJ21"/>
      <c r="AL21" s="49"/>
      <c r="AM21" s="52" t="s">
        <v>35</v>
      </c>
      <c r="AN21" s="53">
        <v>83.085184999999996</v>
      </c>
      <c r="AO21" s="53">
        <v>89.629630000000006</v>
      </c>
      <c r="AP21" s="49"/>
      <c r="AQ21" s="49"/>
      <c r="AR21"/>
      <c r="AS21" s="26" t="s">
        <v>55</v>
      </c>
      <c r="AT21"/>
      <c r="AU21" s="51"/>
      <c r="AW21"/>
      <c r="AX21"/>
      <c r="AY21"/>
      <c r="AZ21"/>
    </row>
    <row r="22" spans="1:54" ht="15">
      <c r="B22" s="85"/>
      <c r="C22" s="7" t="s">
        <v>2</v>
      </c>
      <c r="D22" s="33">
        <v>3.7224377285951835</v>
      </c>
      <c r="E22" s="2"/>
      <c r="F22" s="2"/>
      <c r="G22" s="2"/>
      <c r="H22" s="5">
        <f>100-K22</f>
        <v>60.683760683760688</v>
      </c>
      <c r="I22" s="2"/>
      <c r="J22" s="2"/>
      <c r="K22" s="11">
        <f>100/(23+35.5)*23</f>
        <v>39.316239316239312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AJ22"/>
      <c r="AL22" s="49"/>
      <c r="AM22" s="52" t="s">
        <v>38</v>
      </c>
      <c r="AN22" s="53">
        <v>5.2860199999999997</v>
      </c>
      <c r="AO22" s="53">
        <v>18.950517000000001</v>
      </c>
      <c r="AP22" s="49"/>
      <c r="AQ22" s="49"/>
      <c r="AR22"/>
      <c r="AS22" s="26" t="s">
        <v>56</v>
      </c>
      <c r="AT22"/>
      <c r="AU22" s="51"/>
    </row>
    <row r="23" spans="1:54" ht="15">
      <c r="B23" s="85"/>
      <c r="C23" s="7" t="s">
        <v>41</v>
      </c>
      <c r="D23" s="2"/>
      <c r="E23" s="2"/>
      <c r="F23" s="2"/>
      <c r="G23" s="2"/>
      <c r="H23" s="3"/>
      <c r="I23" s="3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AJ23"/>
      <c r="AL23" s="49"/>
      <c r="AM23" s="52" t="s">
        <v>39</v>
      </c>
      <c r="AN23" s="53">
        <v>4.0574070000000004</v>
      </c>
      <c r="AO23" s="53" t="s">
        <v>40</v>
      </c>
      <c r="AP23" s="49"/>
      <c r="AQ23" s="49"/>
      <c r="AR23"/>
      <c r="AS23"/>
      <c r="AT23"/>
      <c r="AU23" s="51"/>
    </row>
    <row r="24" spans="1:54" ht="15.75" thickBot="1">
      <c r="B24" s="85"/>
      <c r="C24" s="7" t="s">
        <v>43</v>
      </c>
      <c r="D24" s="23">
        <v>50.379900212843864</v>
      </c>
      <c r="E24" s="2"/>
      <c r="F24" s="2"/>
      <c r="G24" s="2"/>
      <c r="H24" s="10">
        <f>100/278*35.5*3</f>
        <v>38.309352517985609</v>
      </c>
      <c r="I24" s="11">
        <f>100/278*24.3</f>
        <v>8.7410071942446042</v>
      </c>
      <c r="J24" s="10">
        <f>100/278*39.1</f>
        <v>14.064748201438849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AB24" s="4" t="s">
        <v>29</v>
      </c>
      <c r="AC24" s="4" t="s">
        <v>30</v>
      </c>
      <c r="AD24" s="4" t="s">
        <v>4</v>
      </c>
      <c r="AE24" s="4" t="s">
        <v>31</v>
      </c>
      <c r="AG24" s="4" t="s">
        <v>29</v>
      </c>
      <c r="AH24" s="4" t="s">
        <v>4</v>
      </c>
      <c r="AI24" s="4" t="s">
        <v>30</v>
      </c>
      <c r="AJ24"/>
      <c r="AL24" s="49"/>
      <c r="AM24" s="52" t="s">
        <v>42</v>
      </c>
      <c r="AN24" s="53">
        <v>1.015949</v>
      </c>
      <c r="AO24" s="53" t="s">
        <v>40</v>
      </c>
      <c r="AP24" s="49"/>
      <c r="AQ24" s="49"/>
      <c r="AR24"/>
      <c r="AS24"/>
      <c r="AT24"/>
      <c r="AU24" s="22"/>
    </row>
    <row r="25" spans="1:54" ht="16.5" thickTop="1" thickBot="1">
      <c r="B25" s="85"/>
      <c r="C25" s="7" t="s">
        <v>57</v>
      </c>
      <c r="D25" s="5">
        <f>D20-D21-D22-D23-D24</f>
        <v>684.21117218966174</v>
      </c>
      <c r="E25" s="4">
        <f>E20</f>
        <v>100</v>
      </c>
      <c r="F25" s="6">
        <f>(D20*F20-D22*F22-D23*F23-D24*F24)/D25</f>
        <v>0.53638410905437317</v>
      </c>
      <c r="G25" s="6">
        <f>(D20*G20-D22*G22-D23*G23-D24*G24)/D25</f>
        <v>0.81699922877764197</v>
      </c>
      <c r="H25" s="6">
        <f>(D20*H20-D22*H22-D23*H23-D24*H24)/D25</f>
        <v>26.624943274274177</v>
      </c>
      <c r="I25" s="6">
        <f>(D20*I20-D22*I22-D23*I23-D24*I24)/D25</f>
        <v>7.4677347465279151</v>
      </c>
      <c r="J25" s="6">
        <f>(D20*J20-D22*J22-D23*J23-D24*J24)/D25</f>
        <v>2.9687093053414566</v>
      </c>
      <c r="K25" s="6">
        <f>(D20*K20-D22*K22-D23*K23-D24*K24)/D25</f>
        <v>0.5974043539932774</v>
      </c>
      <c r="L25" s="21">
        <f>(G25/40*2+I25/24.3*2+J25/39.1+K25/23-H25/35.5-F25/80)/(H25/35.5)</f>
        <v>9.0040687989347522E-4</v>
      </c>
      <c r="M25" s="5">
        <f>I25/24.3*(24.3+35.5*2)+J25/39.1*(39.1+35.5)+K25/23*(23+35.5)</f>
        <v>36.470611779550318</v>
      </c>
      <c r="N25" s="5">
        <f>100-O25</f>
        <v>36.470613582735069</v>
      </c>
      <c r="O25" s="27">
        <f>AE25</f>
        <v>63.529386417264931</v>
      </c>
      <c r="P25" s="12">
        <f>I25/24.3*(24.3+35.5*2)*10</f>
        <v>292.87042030621825</v>
      </c>
      <c r="Q25" s="5">
        <f>K25/23*(23+35.5)*10</f>
        <v>15.194849873307273</v>
      </c>
      <c r="R25" s="5">
        <f>J25/39.1*(39.1+35.5)*10</f>
        <v>56.640847615977648</v>
      </c>
      <c r="S25" s="5">
        <f>G25/40*(40+35.5*2)*10</f>
        <v>22.67172859857957</v>
      </c>
      <c r="T25" s="5">
        <f>I25/24.3*(24.3+35.5*2)/M25*100</f>
        <v>80.303127920227425</v>
      </c>
      <c r="U25" s="6">
        <f>K25/23*(23+35.5)/M25*100</f>
        <v>4.1663271143225735</v>
      </c>
      <c r="V25" s="5">
        <f>J25/39.1*(39.1+35.5)/M25*100</f>
        <v>15.530544965449996</v>
      </c>
      <c r="W25" s="5"/>
      <c r="X25" s="34">
        <f>AI25</f>
        <v>4.1663266182179015</v>
      </c>
      <c r="Y25" s="3"/>
      <c r="Z25" s="28">
        <f>(N25-M25)^2+(U25-X25)^2</f>
        <v>3.497595094484423E-12</v>
      </c>
      <c r="AB25" s="22">
        <f>T25</f>
        <v>80.303127920227425</v>
      </c>
      <c r="AC25" s="29">
        <f>U25</f>
        <v>4.1663271143225735</v>
      </c>
      <c r="AD25" s="4">
        <f>E25</f>
        <v>100</v>
      </c>
      <c r="AE25" s="25" cm="1">
        <f t="array" ref="AE25">(MMULT(1/(1+EXP(-(MMULT(((AB25:AD25-$AN$5:$AP$5)/$AN$6:$AP$6),$AN$11:$AO$13)+$AN$14:$AO$14))),$AN$15:$AN$16)+$AN$17)*$AN$8+$AN$7</f>
        <v>63.529386417264931</v>
      </c>
      <c r="AG25" s="22">
        <f>T25</f>
        <v>80.303127920227425</v>
      </c>
      <c r="AH25" s="4">
        <f>E25</f>
        <v>100</v>
      </c>
      <c r="AI25" s="30" cm="1">
        <f t="array" ref="AI25">(MMULT(1/(1+EXP(-(MMULT(((AG25:AH25-$AN$21:$AO$21)/$AN$22:$AO$22),$AN$27:$AQ$28)+$AN$29:$AQ$29))),$AN$30:$AN$33)+$AN$34)*$AN$24+$AN$23</f>
        <v>4.1663266182179015</v>
      </c>
      <c r="AJ25"/>
      <c r="AL25" s="49"/>
      <c r="AM25" s="49"/>
      <c r="AN25" s="49"/>
      <c r="AO25" s="49"/>
      <c r="AP25" s="49"/>
      <c r="AQ25" s="49"/>
      <c r="AR25"/>
      <c r="AS25"/>
      <c r="AT25"/>
      <c r="AU25" s="22"/>
      <c r="AV25"/>
      <c r="AW25"/>
      <c r="AX25"/>
      <c r="AY25"/>
      <c r="AZ25"/>
      <c r="BA25"/>
      <c r="BB25"/>
    </row>
    <row r="26" spans="1:54" ht="15" thickTop="1">
      <c r="B26" s="85" t="s">
        <v>58</v>
      </c>
      <c r="C26" s="7" t="s">
        <v>28</v>
      </c>
      <c r="D26" s="10">
        <v>40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3"/>
      <c r="Z26"/>
      <c r="AJ26"/>
      <c r="AL26" s="49"/>
      <c r="AM26" s="49" t="s">
        <v>59</v>
      </c>
      <c r="AN26" s="49"/>
      <c r="AO26" s="49"/>
      <c r="AP26" s="49"/>
      <c r="AQ26" s="49"/>
      <c r="AR26"/>
      <c r="AS26"/>
      <c r="AT26"/>
      <c r="AU26" s="22"/>
      <c r="AV26"/>
      <c r="AW26"/>
      <c r="AX26"/>
      <c r="AY26"/>
      <c r="AZ26"/>
      <c r="BA26"/>
      <c r="BB26"/>
    </row>
    <row r="27" spans="1:54" ht="15">
      <c r="B27" s="85"/>
      <c r="C27" s="7" t="s">
        <v>2</v>
      </c>
      <c r="D27" s="33">
        <v>3.4353273215935785</v>
      </c>
      <c r="E27" s="2"/>
      <c r="F27" s="2"/>
      <c r="G27" s="2"/>
      <c r="H27" s="5">
        <f>100-K27</f>
        <v>60.683760683760688</v>
      </c>
      <c r="I27" s="2"/>
      <c r="J27" s="2"/>
      <c r="K27" s="11">
        <f>100/(23+35.5)*23</f>
        <v>39.316239316239312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3"/>
      <c r="Z27"/>
      <c r="AJ27"/>
      <c r="AL27" s="49"/>
      <c r="AM27" s="54" t="s">
        <v>47</v>
      </c>
      <c r="AN27" s="53">
        <v>1.9782</v>
      </c>
      <c r="AO27" s="53">
        <v>0.53784299999999996</v>
      </c>
      <c r="AP27" s="53">
        <v>-0.434618</v>
      </c>
      <c r="AQ27" s="49">
        <v>-1.5798540000000001</v>
      </c>
      <c r="AR27"/>
      <c r="AS27" s="36"/>
      <c r="AT27" s="36"/>
      <c r="AU27" s="22"/>
      <c r="AV27"/>
      <c r="AW27"/>
      <c r="AX27"/>
      <c r="AY27"/>
      <c r="AZ27"/>
      <c r="BA27"/>
      <c r="BB27"/>
    </row>
    <row r="28" spans="1:54" ht="15">
      <c r="B28" s="85"/>
      <c r="C28" s="7" t="s">
        <v>41</v>
      </c>
      <c r="D28" s="2"/>
      <c r="E28" s="2"/>
      <c r="F28" s="2"/>
      <c r="G28" s="2"/>
      <c r="H28" s="3"/>
      <c r="I28" s="3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3"/>
      <c r="Z28"/>
      <c r="AJ28"/>
      <c r="AL28" s="49"/>
      <c r="AM28" s="55">
        <v>1</v>
      </c>
      <c r="AN28" s="53">
        <v>-0.70887100000000003</v>
      </c>
      <c r="AO28" s="53">
        <v>0.29633700000000002</v>
      </c>
      <c r="AP28" s="53">
        <v>2.2056499999999999</v>
      </c>
      <c r="AQ28" s="49">
        <v>0.56632899999999997</v>
      </c>
      <c r="AR28"/>
      <c r="AS28" s="36"/>
      <c r="AT28" s="36"/>
      <c r="AU28" s="22"/>
      <c r="AV28"/>
      <c r="AW28"/>
      <c r="AX28"/>
      <c r="AY28"/>
      <c r="AZ28"/>
      <c r="BA28"/>
      <c r="BB28"/>
    </row>
    <row r="29" spans="1:54" ht="15.75" thickBot="1">
      <c r="B29" s="85"/>
      <c r="C29" s="7" t="s">
        <v>43</v>
      </c>
      <c r="D29" s="23">
        <v>48.317830321449385</v>
      </c>
      <c r="E29" s="2"/>
      <c r="F29" s="2"/>
      <c r="G29" s="2"/>
      <c r="H29" s="10">
        <f>100/278*35.5*3</f>
        <v>38.309352517985609</v>
      </c>
      <c r="I29" s="11">
        <f>100/278*24.3</f>
        <v>8.7410071942446042</v>
      </c>
      <c r="J29" s="10">
        <f>100/278*39.1</f>
        <v>14.064748201438849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3"/>
      <c r="Z29"/>
      <c r="AB29" s="4" t="s">
        <v>29</v>
      </c>
      <c r="AC29" s="4" t="s">
        <v>30</v>
      </c>
      <c r="AD29" s="4" t="s">
        <v>4</v>
      </c>
      <c r="AE29" s="4" t="s">
        <v>31</v>
      </c>
      <c r="AG29" s="4" t="s">
        <v>29</v>
      </c>
      <c r="AH29" s="4" t="s">
        <v>4</v>
      </c>
      <c r="AI29" s="4" t="s">
        <v>30</v>
      </c>
      <c r="AJ29"/>
      <c r="AL29" s="49"/>
      <c r="AM29" s="54" t="s">
        <v>48</v>
      </c>
      <c r="AN29" s="53">
        <v>-4.5100119999999997</v>
      </c>
      <c r="AO29" s="53">
        <v>1.2440000000000001E-3</v>
      </c>
      <c r="AP29" s="53">
        <v>0.86186099999999999</v>
      </c>
      <c r="AQ29" s="49">
        <v>-1.1936659999999999</v>
      </c>
      <c r="AR29"/>
      <c r="AS29"/>
      <c r="AT29"/>
      <c r="AU29" s="22"/>
      <c r="AV29"/>
      <c r="AW29"/>
      <c r="AX29"/>
      <c r="AY29"/>
      <c r="AZ29"/>
      <c r="BA29"/>
      <c r="BB29"/>
    </row>
    <row r="30" spans="1:54" ht="16.5" thickTop="1" thickBot="1">
      <c r="B30" s="85"/>
      <c r="C30" s="7" t="s">
        <v>57</v>
      </c>
      <c r="D30" s="5">
        <f>D25-D26-D27-D28-D29</f>
        <v>592.45801454661876</v>
      </c>
      <c r="E30" s="4">
        <f>E25</f>
        <v>100</v>
      </c>
      <c r="F30" s="6">
        <f>(D25*F25-D27*F27-D28*F28-D29*F29)/D30</f>
        <v>0.61945317809709854</v>
      </c>
      <c r="G30" s="6">
        <f>(D25*G25-D27*G27-D28*G28-D29*G29)/D30</f>
        <v>0.9435267753577059</v>
      </c>
      <c r="H30" s="6">
        <f>(D25*H25-D27*H27-D28*H28-D29*H29)/D30</f>
        <v>27.272127095447374</v>
      </c>
      <c r="I30" s="6">
        <f>(D25*I25-D27*I27-D28*I28-D29*I29)/D30</f>
        <v>7.9113809366898753</v>
      </c>
      <c r="J30" s="6">
        <f>(D25*J25-D27*J27-D28*J28-D29*J29)/D30</f>
        <v>2.2814206634057523</v>
      </c>
      <c r="K30" s="6">
        <f>(D25*K25-D27*K27-D28*K28-D29*K29)/D30</f>
        <v>0.46195101676698452</v>
      </c>
      <c r="L30" s="21">
        <f>(G30/40*2+I30/24.3*2+J30/39.1+K30/23-H30/35.5-F30/80)/(H30/35.5)</f>
        <v>1.0151753554805149E-3</v>
      </c>
      <c r="M30" s="5">
        <f>I30/24.3*(24.3+35.5*2)+J30/39.1*(39.1+35.5)+K30/23*(23+35.5)</f>
        <v>36.554688025149474</v>
      </c>
      <c r="N30" s="5">
        <f>100-O30</f>
        <v>36.554690587580929</v>
      </c>
      <c r="O30" s="27">
        <f>AE30</f>
        <v>63.445309412419071</v>
      </c>
      <c r="P30" s="12">
        <f>I30/24.3*(24.3+35.5*2)*10</f>
        <v>310.26938406030661</v>
      </c>
      <c r="Q30" s="5">
        <f>K30/23*(23+35.5)*10</f>
        <v>11.749623687334172</v>
      </c>
      <c r="R30" s="5">
        <f>J30/39.1*(39.1+35.5)*10</f>
        <v>43.527872503853999</v>
      </c>
      <c r="S30" s="5">
        <f>G30/40*(40+35.5*2)*10</f>
        <v>26.182868016176339</v>
      </c>
      <c r="T30" s="5">
        <f>I30/24.3*(24.3+35.5*2)/M30*100</f>
        <v>84.87813761311341</v>
      </c>
      <c r="U30" s="6">
        <f>K30/23*(23+35.5)/M30*100</f>
        <v>3.214259051876049</v>
      </c>
      <c r="V30" s="5">
        <f>J30/39.1*(39.1+35.5)/M30*100</f>
        <v>11.907603335010547</v>
      </c>
      <c r="W30" s="5"/>
      <c r="X30" s="34">
        <f>AI30</f>
        <v>3.2142593484069701</v>
      </c>
      <c r="Y30" s="3"/>
      <c r="Z30" s="28">
        <f>(N30-M30)^2+(U30-X30)^2</f>
        <v>6.6539855466095469E-12</v>
      </c>
      <c r="AB30" s="22">
        <f>T30</f>
        <v>84.87813761311341</v>
      </c>
      <c r="AC30" s="29">
        <f>U30</f>
        <v>3.214259051876049</v>
      </c>
      <c r="AD30" s="4">
        <f>E30</f>
        <v>100</v>
      </c>
      <c r="AE30" s="25" cm="1">
        <f t="array" ref="AE30">(MMULT(1/(1+EXP(-(MMULT(((AB30:AD30-$AN$5:$AP$5)/$AN$6:$AP$6),$AN$11:$AO$13)+$AN$14:$AO$14))),$AN$15:$AN$16)+$AN$17)*$AN$8+$AN$7</f>
        <v>63.445309412419071</v>
      </c>
      <c r="AG30" s="22">
        <f>T30</f>
        <v>84.87813761311341</v>
      </c>
      <c r="AH30" s="4">
        <f>E30</f>
        <v>100</v>
      </c>
      <c r="AI30" s="30" cm="1">
        <f t="array" ref="AI30">(MMULT(1/(1+EXP(-(MMULT(((AG30:AH30-$AN$21:$AO$21)/$AN$22:$AO$22),$AN$27:$AQ$28)+$AN$29:$AQ$29))),$AN$30:$AN$33)+$AN$34)*$AN$24+$AN$23</f>
        <v>3.2142593484069701</v>
      </c>
      <c r="AJ30"/>
      <c r="AL30" s="49"/>
      <c r="AM30" s="54" t="s">
        <v>50</v>
      </c>
      <c r="AN30" s="53">
        <v>-3.6572420000000001</v>
      </c>
      <c r="AO30" s="53" t="s">
        <v>40</v>
      </c>
      <c r="AP30" s="53" t="s">
        <v>40</v>
      </c>
      <c r="AQ30" s="49" t="s">
        <v>40</v>
      </c>
      <c r="AR30"/>
      <c r="AS30" t="s">
        <v>29</v>
      </c>
      <c r="AT30" s="40">
        <v>85</v>
      </c>
      <c r="AU30" s="22"/>
      <c r="AV30"/>
      <c r="AW30"/>
      <c r="AX30"/>
      <c r="AY30"/>
      <c r="AZ30"/>
      <c r="BA30"/>
      <c r="BB30"/>
    </row>
    <row r="31" spans="1:54" ht="15.75" thickTop="1">
      <c r="B31" s="85" t="s">
        <v>60</v>
      </c>
      <c r="C31" s="7" t="s">
        <v>28</v>
      </c>
      <c r="D31" s="10">
        <v>50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3"/>
      <c r="AJ31"/>
      <c r="AL31" s="49"/>
      <c r="AM31" s="55">
        <v>1</v>
      </c>
      <c r="AN31" s="53">
        <v>-1.15828</v>
      </c>
      <c r="AO31" s="53" t="s">
        <v>40</v>
      </c>
      <c r="AP31" s="53" t="s">
        <v>40</v>
      </c>
      <c r="AQ31" s="49" t="s">
        <v>40</v>
      </c>
      <c r="AR31"/>
      <c r="AS31" t="s">
        <v>4</v>
      </c>
      <c r="AT31" s="40">
        <v>60</v>
      </c>
      <c r="AU31" s="22"/>
      <c r="AV31"/>
      <c r="AW31"/>
      <c r="AX31"/>
      <c r="AY31"/>
      <c r="AZ31"/>
      <c r="BA31"/>
      <c r="BB31"/>
    </row>
    <row r="32" spans="1:54" ht="15">
      <c r="B32" s="85"/>
      <c r="C32" s="7" t="s">
        <v>2</v>
      </c>
      <c r="D32" s="33">
        <v>2.5554382723312652</v>
      </c>
      <c r="E32" s="2"/>
      <c r="F32" s="2"/>
      <c r="G32" s="2"/>
      <c r="H32" s="5">
        <f>100-K32</f>
        <v>60.683760683760688</v>
      </c>
      <c r="I32" s="2"/>
      <c r="J32" s="2"/>
      <c r="K32" s="11">
        <f>100/(23+35.5)*23</f>
        <v>39.316239316239312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3"/>
      <c r="AJ32"/>
      <c r="AL32" s="49"/>
      <c r="AM32" s="55">
        <v>2</v>
      </c>
      <c r="AN32" s="53">
        <v>-2.2517239999999998</v>
      </c>
      <c r="AO32" s="53" t="s">
        <v>40</v>
      </c>
      <c r="AP32" s="53" t="s">
        <v>40</v>
      </c>
      <c r="AQ32" s="49" t="s">
        <v>40</v>
      </c>
      <c r="AR32"/>
      <c r="AS32" t="s">
        <v>30</v>
      </c>
      <c r="AT32" s="1" cm="1">
        <f t="array" ref="AT32">(MMULT(1/(1+EXP(-(MMULT(((TRANSPOSE(AT30:AT31)-$AN$21:$AO$21)/$AN$22:$AO$22),$AN$27:$AQ$28)+$AN$29:$AQ$29))),$AN$30:$AN$33)+$AN$34)*$AN$24+$AN$23</f>
        <v>4.6894096278673176</v>
      </c>
      <c r="AV32"/>
      <c r="AW32"/>
      <c r="AX32"/>
      <c r="AY32"/>
      <c r="AZ32"/>
      <c r="BA32"/>
      <c r="BB32"/>
    </row>
    <row r="33" spans="2:54" ht="15">
      <c r="B33" s="85"/>
      <c r="C33" s="7" t="s">
        <v>41</v>
      </c>
      <c r="D33" s="2"/>
      <c r="E33" s="2"/>
      <c r="F33" s="2"/>
      <c r="G33" s="2"/>
      <c r="H33" s="3"/>
      <c r="I33" s="3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3"/>
      <c r="AJ33"/>
      <c r="AL33" s="49"/>
      <c r="AM33" s="55">
        <v>3</v>
      </c>
      <c r="AN33" s="53">
        <v>2.8823400000000001</v>
      </c>
      <c r="AO33" s="53" t="s">
        <v>40</v>
      </c>
      <c r="AP33" s="53" t="s">
        <v>40</v>
      </c>
      <c r="AQ33" s="49" t="s">
        <v>40</v>
      </c>
      <c r="AR33"/>
      <c r="AS33"/>
      <c r="AT33"/>
      <c r="AV33"/>
      <c r="AW33"/>
      <c r="AX33"/>
      <c r="AY33"/>
      <c r="AZ33"/>
      <c r="BA33"/>
      <c r="BB33"/>
    </row>
    <row r="34" spans="2:54" ht="15.75" thickBot="1">
      <c r="B34" s="85"/>
      <c r="C34" s="7" t="s">
        <v>43</v>
      </c>
      <c r="D34" s="23">
        <v>48.286107596769057</v>
      </c>
      <c r="E34" s="2"/>
      <c r="F34" s="2"/>
      <c r="G34" s="2"/>
      <c r="H34" s="10">
        <f>100/278*35.5*3</f>
        <v>38.309352517985609</v>
      </c>
      <c r="I34" s="11">
        <f>100/278*24.3</f>
        <v>8.7410071942446042</v>
      </c>
      <c r="J34" s="10">
        <f>100/278*39.1</f>
        <v>14.064748201438849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3"/>
      <c r="AA34" s="4" t="s">
        <v>61</v>
      </c>
      <c r="AB34" s="4" t="s">
        <v>29</v>
      </c>
      <c r="AC34" s="4" t="s">
        <v>30</v>
      </c>
      <c r="AD34" s="4" t="s">
        <v>4</v>
      </c>
      <c r="AE34" s="4" t="s">
        <v>31</v>
      </c>
      <c r="AG34" s="4" t="s">
        <v>29</v>
      </c>
      <c r="AH34" s="4" t="s">
        <v>4</v>
      </c>
      <c r="AI34" s="4" t="s">
        <v>30</v>
      </c>
      <c r="AJ34"/>
      <c r="AL34" s="49"/>
      <c r="AM34" s="54" t="s">
        <v>52</v>
      </c>
      <c r="AN34" s="49">
        <v>1.3039289999999999</v>
      </c>
      <c r="AO34" s="53" t="s">
        <v>40</v>
      </c>
      <c r="AP34" s="53" t="s">
        <v>40</v>
      </c>
      <c r="AQ34" s="49" t="s">
        <v>40</v>
      </c>
      <c r="AR34"/>
      <c r="AS34"/>
      <c r="AT34"/>
      <c r="AV34"/>
      <c r="AW34"/>
      <c r="AX34"/>
      <c r="AY34"/>
      <c r="AZ34"/>
      <c r="BA34"/>
      <c r="BB34"/>
    </row>
    <row r="35" spans="2:54" ht="16.5" thickTop="1" thickBot="1">
      <c r="B35" s="85"/>
      <c r="C35" s="7" t="s">
        <v>57</v>
      </c>
      <c r="D35" s="5">
        <f>D30-D31-D32-D33-D34</f>
        <v>491.61646867751847</v>
      </c>
      <c r="E35" s="2">
        <f>E30</f>
        <v>100</v>
      </c>
      <c r="F35" s="6">
        <f>(D30*F30-D32*F32-D33*F33-D34*F34)/D35</f>
        <v>0.74651689555326506</v>
      </c>
      <c r="G35" s="6">
        <f>(D30*G30-D32*G32-D33*G33-D34*G34)/D35</f>
        <v>1.1370652441805862</v>
      </c>
      <c r="H35" s="6">
        <f>(D30*H30-D32*H32-D33*H33-D34*H34)/D35</f>
        <v>28.788106279875556</v>
      </c>
      <c r="I35" s="6">
        <f>(D30*I30-D32*I32-D33*I33-D34*I34)/D35</f>
        <v>8.6756488033470696</v>
      </c>
      <c r="J35" s="6">
        <f>(D30*J30-D32*J32-D33*J33-D34*J34)/D35</f>
        <v>1.3679647742883179</v>
      </c>
      <c r="K35" s="6">
        <f>(D30*K30-D32*K32-D33*K33-D34*K34)/D35</f>
        <v>0.35234043319311498</v>
      </c>
      <c r="L35" s="21">
        <f>(G35/40*2+I35/24.3*2+J35/39.1+K35/23-H35/35.5-F35/80)/(H35/35.5)</f>
        <v>1.1589858586459911E-3</v>
      </c>
      <c r="M35" s="5">
        <f>I35/24.3*(24.3+35.5*2)+J35/39.1*(39.1+35.5)+K35/23*(23+35.5)</f>
        <v>37.530401362760855</v>
      </c>
      <c r="N35" s="5">
        <f>100-O35</f>
        <v>37.530403681997981</v>
      </c>
      <c r="O35" s="27">
        <f>AE35</f>
        <v>62.469596318002019</v>
      </c>
      <c r="P35" s="12">
        <f>I35/24.3*(24.3+35.5*2)*10</f>
        <v>340.24252302838505</v>
      </c>
      <c r="Q35" s="5">
        <f>K35/23*(23+35.5)*10</f>
        <v>8.9617023225205337</v>
      </c>
      <c r="R35" s="5">
        <f>J35/39.1*(39.1+35.5)*10</f>
        <v>26.099788276702938</v>
      </c>
      <c r="S35" s="5">
        <f>G35/40*(40+35.5*2)*10</f>
        <v>31.553560526011267</v>
      </c>
      <c r="T35" s="5">
        <f>I35/24.3*(24.3+35.5*2)/M35*100</f>
        <v>90.657842888402229</v>
      </c>
      <c r="U35" s="6">
        <f>K35/23*(23+35.5)/M35*100</f>
        <v>2.3878514476566957</v>
      </c>
      <c r="V35" s="5">
        <f>J35/39.1*(39.1+35.5)/M35*100</f>
        <v>6.9543056639410681</v>
      </c>
      <c r="W35" s="5"/>
      <c r="X35" s="34">
        <f>AI35</f>
        <v>2.3878491819132757</v>
      </c>
      <c r="Y35" s="3"/>
      <c r="Z35" s="28">
        <f>(N35-M35)^2+(U35-X35)^2</f>
        <v>1.0512454091410183E-11</v>
      </c>
      <c r="AA35" s="56">
        <f>Z5+Z10+Z15+Z20+Z25+Z30+Z35</f>
        <v>1.5602261318072792E-10</v>
      </c>
      <c r="AB35" s="22">
        <f>T35</f>
        <v>90.657842888402229</v>
      </c>
      <c r="AC35" s="29">
        <f>U35</f>
        <v>2.3878514476566957</v>
      </c>
      <c r="AD35" s="4">
        <f>E35</f>
        <v>100</v>
      </c>
      <c r="AE35" s="25" cm="1">
        <f t="array" ref="AE35">(MMULT(1/(1+EXP(-(MMULT(((AB35:AD35-$AN$5:$AP$5)/$AN$6:$AP$6),$AN$11:$AO$13)+$AN$14:$AO$14))),$AN$15:$AN$16)+$AN$17)*$AN$8+$AN$7</f>
        <v>62.469596318002019</v>
      </c>
      <c r="AG35" s="22">
        <f>T35</f>
        <v>90.657842888402229</v>
      </c>
      <c r="AH35" s="4">
        <f>E35</f>
        <v>100</v>
      </c>
      <c r="AI35" s="30" cm="1">
        <f t="array" ref="AI35">(MMULT(1/(1+EXP(-(MMULT(((AG35:AH35-$AN$21:$AO$21)/$AN$22:$AO$22),$AN$27:$AQ$28)+$AN$29:$AQ$29))),$AN$30:$AN$33)+$AN$34)*$AN$24+$AN$23</f>
        <v>2.3878491819132757</v>
      </c>
      <c r="AJ35"/>
      <c r="AQ35" s="22"/>
      <c r="AR35"/>
      <c r="AS35" s="29"/>
      <c r="AT35" s="22"/>
      <c r="AV35"/>
      <c r="AW35"/>
      <c r="AX35"/>
      <c r="AY35"/>
      <c r="AZ35"/>
      <c r="BA35"/>
      <c r="BB35"/>
    </row>
    <row r="36" spans="2:54" ht="15" thickTop="1">
      <c r="H36" s="57"/>
      <c r="AJ36"/>
      <c r="AM36"/>
      <c r="AN36"/>
      <c r="AO36"/>
      <c r="AP36"/>
      <c r="AQ36" s="29"/>
      <c r="AR36"/>
      <c r="AS36" s="22"/>
      <c r="AV36"/>
      <c r="AW36"/>
      <c r="AX36"/>
      <c r="AY36"/>
      <c r="AZ36"/>
      <c r="BA36"/>
      <c r="BB36"/>
    </row>
    <row r="37" spans="2:54" s="14" customFormat="1">
      <c r="C37" s="8" t="s">
        <v>62</v>
      </c>
      <c r="S37"/>
      <c r="W37" s="14" t="s">
        <v>63</v>
      </c>
      <c r="X37" s="4" t="s">
        <v>29</v>
      </c>
      <c r="Y37" s="4" t="s">
        <v>30</v>
      </c>
      <c r="Z37" s="4" t="s">
        <v>31</v>
      </c>
      <c r="AJ37"/>
      <c r="AM37"/>
      <c r="AN37"/>
      <c r="AO37"/>
      <c r="AP37"/>
      <c r="AR37"/>
      <c r="AV37"/>
      <c r="AW37"/>
      <c r="AX37"/>
      <c r="AY37"/>
      <c r="AZ37"/>
      <c r="BA37"/>
      <c r="BB37"/>
    </row>
    <row r="38" spans="2:54" ht="30">
      <c r="C38" s="16" t="s">
        <v>64</v>
      </c>
      <c r="D38" s="16" t="s">
        <v>65</v>
      </c>
      <c r="E38" s="15" t="s">
        <v>66</v>
      </c>
      <c r="F38" s="2"/>
      <c r="G38" s="2"/>
      <c r="H38" s="2"/>
      <c r="I38" s="16" t="s">
        <v>11</v>
      </c>
      <c r="J38" s="16" t="s">
        <v>12</v>
      </c>
      <c r="K38" s="16" t="s">
        <v>5</v>
      </c>
      <c r="L38" s="16" t="s">
        <v>6</v>
      </c>
      <c r="M38" s="16" t="s">
        <v>7</v>
      </c>
      <c r="N38" s="16" t="s">
        <v>8</v>
      </c>
      <c r="O38" s="2"/>
      <c r="P38" s="16" t="s">
        <v>21</v>
      </c>
      <c r="Q38" s="16" t="s">
        <v>22</v>
      </c>
      <c r="R38" s="16" t="s">
        <v>23</v>
      </c>
      <c r="S38" s="16" t="s">
        <v>14</v>
      </c>
      <c r="T38" s="2" t="s">
        <v>67</v>
      </c>
      <c r="W38" s="15" t="s">
        <v>0</v>
      </c>
      <c r="X38" s="2" t="s">
        <v>1</v>
      </c>
      <c r="Y38" s="2" t="s">
        <v>2</v>
      </c>
      <c r="Z38" s="15" t="s">
        <v>3</v>
      </c>
      <c r="AA38" s="2" t="s">
        <v>4</v>
      </c>
      <c r="AD38" s="58"/>
      <c r="AM38"/>
      <c r="AN38"/>
      <c r="AO38"/>
      <c r="AP38"/>
      <c r="AR38"/>
      <c r="AV38"/>
      <c r="AW38"/>
      <c r="AX38"/>
      <c r="AY38"/>
      <c r="AZ38"/>
      <c r="BA38"/>
      <c r="BB38"/>
    </row>
    <row r="39" spans="2:54" ht="15">
      <c r="B39" s="59" t="s">
        <v>68</v>
      </c>
      <c r="C39" s="60">
        <v>0</v>
      </c>
      <c r="D39" s="2">
        <v>0</v>
      </c>
      <c r="E39" s="2">
        <v>0</v>
      </c>
      <c r="F39" s="2"/>
      <c r="G39" s="2"/>
      <c r="H39" s="2"/>
      <c r="I39" s="6">
        <f t="shared" ref="I39:N39" si="0">F3</f>
        <v>0.36699999999999999</v>
      </c>
      <c r="J39" s="6">
        <f t="shared" si="0"/>
        <v>0.55900000000000005</v>
      </c>
      <c r="K39" s="6">
        <f t="shared" si="0"/>
        <v>21.23</v>
      </c>
      <c r="L39" s="6">
        <f t="shared" si="0"/>
        <v>5.55</v>
      </c>
      <c r="M39" s="6">
        <f t="shared" si="0"/>
        <v>2.74</v>
      </c>
      <c r="N39" s="6">
        <f t="shared" si="0"/>
        <v>1.1100000000000001</v>
      </c>
      <c r="O39" s="5"/>
      <c r="P39" s="5">
        <f>T3</f>
        <v>72.998707233522467</v>
      </c>
      <c r="Q39" s="6">
        <f>U3</f>
        <v>9.4686173883675249</v>
      </c>
      <c r="R39" s="5">
        <f>V3</f>
        <v>17.532675378110014</v>
      </c>
      <c r="S39" s="5">
        <f>L39/24.3*(24.3+35.5*2)+M39/39.1*(39.1+35.5)+N39/23*(23+35.5)</f>
        <v>29.817034037447506</v>
      </c>
      <c r="T39" s="5">
        <f>100-S39</f>
        <v>70.182965962552487</v>
      </c>
      <c r="W39" s="60">
        <v>0</v>
      </c>
      <c r="X39" s="5">
        <f t="shared" ref="X39:Y46" si="1">P39</f>
        <v>72.998707233522467</v>
      </c>
      <c r="Y39" s="6">
        <f t="shared" si="1"/>
        <v>9.4686173883675249</v>
      </c>
      <c r="Z39" s="5">
        <f t="shared" ref="Z39:Z46" si="2">T39</f>
        <v>70.182965962552487</v>
      </c>
      <c r="AA39" s="2">
        <f>E5</f>
        <v>100</v>
      </c>
      <c r="AM39"/>
      <c r="AN39"/>
      <c r="AO39"/>
      <c r="AP39"/>
      <c r="AR39"/>
      <c r="AV39"/>
      <c r="AW39"/>
      <c r="AX39"/>
      <c r="AY39"/>
      <c r="AZ39"/>
      <c r="BA39"/>
      <c r="BB39"/>
    </row>
    <row r="40" spans="2:54">
      <c r="B40" s="59" t="s">
        <v>69</v>
      </c>
      <c r="C40" s="2">
        <v>1</v>
      </c>
      <c r="D40" s="5">
        <f>D4</f>
        <v>114.86459414618093</v>
      </c>
      <c r="E40" s="5">
        <f>D40/D3*100</f>
        <v>11.486459414618093</v>
      </c>
      <c r="F40" s="2"/>
      <c r="G40" s="2"/>
      <c r="H40" s="2"/>
      <c r="I40" s="6">
        <f t="shared" ref="I40:N40" si="3">F5</f>
        <v>0.41462582738511577</v>
      </c>
      <c r="J40" s="6">
        <f t="shared" si="3"/>
        <v>0.63154179157569412</v>
      </c>
      <c r="K40" s="6">
        <f t="shared" si="3"/>
        <v>23.985030832114465</v>
      </c>
      <c r="L40" s="6">
        <f t="shared" si="3"/>
        <v>6.2702270898839041</v>
      </c>
      <c r="M40" s="6">
        <f t="shared" si="3"/>
        <v>3.0955715723030446</v>
      </c>
      <c r="N40" s="6">
        <f t="shared" si="3"/>
        <v>1.2540454179767808</v>
      </c>
      <c r="O40" s="5"/>
      <c r="P40" s="5">
        <f>T3</f>
        <v>72.998707233522467</v>
      </c>
      <c r="Q40" s="6">
        <f>U3</f>
        <v>9.4686173883675249</v>
      </c>
      <c r="R40" s="5">
        <f>V3</f>
        <v>17.532675378110014</v>
      </c>
      <c r="S40" s="5">
        <f t="shared" ref="S40:S46" si="4">L40/24.3*(24.3+35.5*2)+M40/39.1*(39.1+35.5)+N40/23*(23+35.5)</f>
        <v>33.686409830917796</v>
      </c>
      <c r="T40" s="5">
        <f t="shared" ref="T40:T46" si="5">100-S40</f>
        <v>66.313590169082204</v>
      </c>
      <c r="W40" s="2">
        <v>1</v>
      </c>
      <c r="X40" s="5">
        <f t="shared" si="1"/>
        <v>72.998707233522467</v>
      </c>
      <c r="Y40" s="6">
        <f t="shared" si="1"/>
        <v>9.4686173883675249</v>
      </c>
      <c r="Z40" s="5">
        <f t="shared" si="2"/>
        <v>66.313590169082204</v>
      </c>
      <c r="AA40" s="2">
        <f>E5</f>
        <v>100</v>
      </c>
      <c r="AG40"/>
      <c r="AH40"/>
      <c r="AI40"/>
      <c r="AJ40"/>
      <c r="AK40"/>
      <c r="AL40"/>
      <c r="AM40"/>
      <c r="AN40"/>
      <c r="AO40"/>
      <c r="AP40"/>
      <c r="AR40"/>
      <c r="AV40"/>
      <c r="AW40"/>
      <c r="AX40"/>
      <c r="AY40"/>
      <c r="AZ40"/>
      <c r="BA40"/>
      <c r="BB40"/>
    </row>
    <row r="41" spans="2:54">
      <c r="B41" s="59" t="s">
        <v>70</v>
      </c>
      <c r="C41" s="2">
        <v>2</v>
      </c>
      <c r="D41" s="5">
        <f>D6</f>
        <v>107.69413795762584</v>
      </c>
      <c r="E41" s="5">
        <f>(D41+D40)/D3*100</f>
        <v>22.255873210380678</v>
      </c>
      <c r="F41" s="2"/>
      <c r="G41" s="2"/>
      <c r="H41" s="2"/>
      <c r="I41" s="6">
        <f t="shared" ref="I41:N41" si="6">F10</f>
        <v>0.48078704227503843</v>
      </c>
      <c r="J41" s="6">
        <f t="shared" si="6"/>
        <v>0.73231595812464978</v>
      </c>
      <c r="K41" s="6">
        <f t="shared" si="6"/>
        <v>26.690597341889383</v>
      </c>
      <c r="L41" s="6">
        <f t="shared" si="6"/>
        <v>7.2707577237778285</v>
      </c>
      <c r="M41" s="6">
        <f t="shared" si="6"/>
        <v>3.5895272366038289</v>
      </c>
      <c r="N41" s="6">
        <f t="shared" si="6"/>
        <v>0.72742377796812263</v>
      </c>
      <c r="O41" s="5"/>
      <c r="P41" s="5">
        <f>T10</f>
        <v>76.624616801999196</v>
      </c>
      <c r="Q41" s="6">
        <f>U10</f>
        <v>4.971844515269261</v>
      </c>
      <c r="R41" s="5">
        <f>V10</f>
        <v>18.403538682731547</v>
      </c>
      <c r="S41" s="5">
        <f t="shared" si="4"/>
        <v>37.213282917825282</v>
      </c>
      <c r="T41" s="5">
        <f t="shared" si="5"/>
        <v>62.786717082174718</v>
      </c>
      <c r="W41" s="2">
        <v>2</v>
      </c>
      <c r="X41" s="5">
        <f t="shared" si="1"/>
        <v>76.624616801999196</v>
      </c>
      <c r="Y41" s="6">
        <f t="shared" si="1"/>
        <v>4.971844515269261</v>
      </c>
      <c r="Z41" s="5">
        <f t="shared" si="2"/>
        <v>62.786717082174718</v>
      </c>
      <c r="AA41" s="2">
        <f>E10</f>
        <v>100</v>
      </c>
      <c r="AG41"/>
      <c r="AH41"/>
      <c r="AI41"/>
      <c r="AJ41"/>
      <c r="AK41"/>
      <c r="AL41"/>
      <c r="AM41"/>
      <c r="AN41"/>
      <c r="AO41"/>
      <c r="AP41"/>
      <c r="AR41"/>
      <c r="AV41"/>
      <c r="AW41"/>
      <c r="AX41"/>
      <c r="AY41"/>
      <c r="AZ41"/>
      <c r="BA41"/>
      <c r="BB41"/>
    </row>
    <row r="42" spans="2:54">
      <c r="B42" s="59" t="s">
        <v>71</v>
      </c>
      <c r="C42" s="2">
        <v>3</v>
      </c>
      <c r="D42" s="5">
        <f>D11</f>
        <v>0</v>
      </c>
      <c r="E42" s="5">
        <f>SUM(D40:D42)/D3*100</f>
        <v>22.255873210380678</v>
      </c>
      <c r="F42" s="2"/>
      <c r="G42" s="2"/>
      <c r="H42" s="2"/>
      <c r="I42" s="6">
        <f t="shared" ref="I42:N42" si="7">F15</f>
        <v>0.48079037987087708</v>
      </c>
      <c r="J42" s="6">
        <f t="shared" si="7"/>
        <v>0.73232104181967383</v>
      </c>
      <c r="K42" s="6">
        <f t="shared" si="7"/>
        <v>26.690389078774132</v>
      </c>
      <c r="L42" s="6">
        <f t="shared" si="7"/>
        <v>7.2708081969574057</v>
      </c>
      <c r="M42" s="6">
        <f t="shared" si="7"/>
        <v>3.5894412372947566</v>
      </c>
      <c r="N42" s="6">
        <f t="shared" si="7"/>
        <v>0.72723909878365967</v>
      </c>
      <c r="O42" s="5"/>
      <c r="P42" s="5">
        <f>T15</f>
        <v>76.626046210657634</v>
      </c>
      <c r="Q42" s="6">
        <f>U15</f>
        <v>4.970640476456234</v>
      </c>
      <c r="R42" s="5">
        <f>V15</f>
        <v>18.403313312886141</v>
      </c>
      <c r="S42" s="5">
        <f t="shared" si="4"/>
        <v>37.212847056066884</v>
      </c>
      <c r="T42" s="5">
        <f t="shared" si="5"/>
        <v>62.787152943933116</v>
      </c>
      <c r="W42" s="2">
        <v>3</v>
      </c>
      <c r="X42" s="5">
        <f t="shared" si="1"/>
        <v>76.626046210657634</v>
      </c>
      <c r="Y42" s="6">
        <f t="shared" si="1"/>
        <v>4.970640476456234</v>
      </c>
      <c r="Z42" s="5">
        <f t="shared" si="2"/>
        <v>62.787152943933116</v>
      </c>
      <c r="AA42" s="2">
        <f>E15</f>
        <v>100</v>
      </c>
      <c r="AG42"/>
      <c r="AH42"/>
      <c r="AI42"/>
      <c r="AJ42"/>
      <c r="AK42"/>
      <c r="AL42"/>
      <c r="AM42"/>
      <c r="AN42"/>
      <c r="AO42"/>
      <c r="AP42"/>
      <c r="AR42"/>
      <c r="AV42"/>
      <c r="AW42"/>
      <c r="AX42"/>
      <c r="AY42"/>
      <c r="AZ42"/>
      <c r="BA42"/>
      <c r="BB42"/>
    </row>
    <row r="43" spans="2:54">
      <c r="B43" s="59" t="s">
        <v>72</v>
      </c>
      <c r="C43" s="2">
        <v>4</v>
      </c>
      <c r="D43" s="5">
        <f>D16</f>
        <v>1.859664865365515E-4</v>
      </c>
      <c r="E43" s="5">
        <f>SUM(D40:D43)/D3*100</f>
        <v>22.255891807029332</v>
      </c>
      <c r="F43" s="2"/>
      <c r="G43" s="2"/>
      <c r="H43" s="2"/>
      <c r="I43" s="6">
        <f t="shared" ref="I43:N43" si="8">F20</f>
        <v>0.4807985121827163</v>
      </c>
      <c r="J43" s="6">
        <f t="shared" si="8"/>
        <v>0.73233342863797934</v>
      </c>
      <c r="K43" s="6">
        <f t="shared" si="8"/>
        <v>26.690208222611339</v>
      </c>
      <c r="L43" s="6">
        <f t="shared" si="8"/>
        <v>7.270772154649694</v>
      </c>
      <c r="M43" s="6">
        <f t="shared" si="8"/>
        <v>3.5893569919058965</v>
      </c>
      <c r="N43" s="6">
        <f t="shared" si="8"/>
        <v>0.72722803740085029</v>
      </c>
      <c r="O43" s="5"/>
      <c r="P43" s="5">
        <f>T20</f>
        <v>76.626346333233627</v>
      </c>
      <c r="Q43" s="6">
        <f>U20</f>
        <v>4.9706089807245846</v>
      </c>
      <c r="R43" s="5">
        <f>V20</f>
        <v>18.403044686041781</v>
      </c>
      <c r="S43" s="5">
        <f t="shared" si="4"/>
        <v>37.212516836403125</v>
      </c>
      <c r="T43" s="5">
        <f t="shared" si="5"/>
        <v>62.787483163596875</v>
      </c>
      <c r="W43" s="2">
        <v>4</v>
      </c>
      <c r="X43" s="5">
        <f t="shared" si="1"/>
        <v>76.626346333233627</v>
      </c>
      <c r="Y43" s="6">
        <f t="shared" si="1"/>
        <v>4.9706089807245846</v>
      </c>
      <c r="Z43" s="5">
        <f t="shared" si="2"/>
        <v>62.787483163596875</v>
      </c>
      <c r="AA43" s="2">
        <f>E20</f>
        <v>100</v>
      </c>
      <c r="AG43"/>
      <c r="AH43"/>
      <c r="AI43"/>
      <c r="AJ43"/>
      <c r="AK43"/>
      <c r="AL43"/>
      <c r="AM43"/>
      <c r="AN43"/>
      <c r="AO43"/>
      <c r="AP43"/>
      <c r="AR43"/>
      <c r="AV43"/>
      <c r="AW43"/>
      <c r="AX43"/>
      <c r="AY43"/>
      <c r="AZ43"/>
      <c r="BA43"/>
      <c r="BB43"/>
    </row>
    <row r="44" spans="2:54">
      <c r="B44" s="59" t="s">
        <v>73</v>
      </c>
      <c r="C44" s="2" t="s">
        <v>74</v>
      </c>
      <c r="D44" s="5">
        <f>D21</f>
        <v>25</v>
      </c>
      <c r="E44" s="5">
        <f>SUM(D40:D44)/D3*100</f>
        <v>24.755891807029332</v>
      </c>
      <c r="F44" s="2"/>
      <c r="G44" s="2"/>
      <c r="H44" s="2"/>
      <c r="I44" s="6">
        <f t="shared" ref="I44:N44" si="9">F25</f>
        <v>0.53638410905437317</v>
      </c>
      <c r="J44" s="6">
        <f t="shared" si="9"/>
        <v>0.81699922877764197</v>
      </c>
      <c r="K44" s="6">
        <f t="shared" si="9"/>
        <v>26.624943274274177</v>
      </c>
      <c r="L44" s="6">
        <f t="shared" si="9"/>
        <v>7.4677347465279151</v>
      </c>
      <c r="M44" s="6">
        <f t="shared" si="9"/>
        <v>2.9687093053414566</v>
      </c>
      <c r="N44" s="6">
        <f t="shared" si="9"/>
        <v>0.5974043539932774</v>
      </c>
      <c r="O44" s="5"/>
      <c r="P44" s="5">
        <f>T25</f>
        <v>80.303127920227425</v>
      </c>
      <c r="Q44" s="6">
        <f>U25</f>
        <v>4.1663271143225735</v>
      </c>
      <c r="R44" s="5">
        <f>V25</f>
        <v>15.530544965449996</v>
      </c>
      <c r="S44" s="5">
        <f t="shared" si="4"/>
        <v>36.470611779550318</v>
      </c>
      <c r="T44" s="5">
        <f t="shared" si="5"/>
        <v>63.529388220449682</v>
      </c>
      <c r="W44" s="2" t="s">
        <v>74</v>
      </c>
      <c r="X44" s="5">
        <f t="shared" si="1"/>
        <v>80.303127920227425</v>
      </c>
      <c r="Y44" s="6">
        <f t="shared" si="1"/>
        <v>4.1663271143225735</v>
      </c>
      <c r="Z44" s="5">
        <f t="shared" si="2"/>
        <v>63.529388220449682</v>
      </c>
      <c r="AA44" s="2">
        <f>E25</f>
        <v>100</v>
      </c>
      <c r="AG44"/>
      <c r="AH44"/>
      <c r="AI44"/>
      <c r="AJ44"/>
      <c r="AK44"/>
      <c r="AL44"/>
      <c r="AM44"/>
      <c r="AN44"/>
      <c r="AO44"/>
      <c r="AP44"/>
      <c r="AR44"/>
      <c r="AV44"/>
      <c r="AW44"/>
      <c r="AX44"/>
      <c r="AY44"/>
      <c r="AZ44"/>
      <c r="BA44"/>
      <c r="BB44"/>
    </row>
    <row r="45" spans="2:54">
      <c r="B45" s="59" t="s">
        <v>73</v>
      </c>
      <c r="C45" s="2" t="s">
        <v>75</v>
      </c>
      <c r="D45" s="5">
        <f>D26</f>
        <v>40</v>
      </c>
      <c r="E45" s="5">
        <f>SUM(D39:D45)/D3*100</f>
        <v>28.755891807029332</v>
      </c>
      <c r="F45" s="2"/>
      <c r="G45" s="2"/>
      <c r="H45" s="2"/>
      <c r="I45" s="6">
        <f>F30</f>
        <v>0.61945317809709854</v>
      </c>
      <c r="J45" s="6">
        <f t="shared" ref="J45:N45" si="10">G30</f>
        <v>0.9435267753577059</v>
      </c>
      <c r="K45" s="6">
        <f t="shared" si="10"/>
        <v>27.272127095447374</v>
      </c>
      <c r="L45" s="6">
        <f t="shared" si="10"/>
        <v>7.9113809366898753</v>
      </c>
      <c r="M45" s="6">
        <f t="shared" si="10"/>
        <v>2.2814206634057523</v>
      </c>
      <c r="N45" s="6">
        <f t="shared" si="10"/>
        <v>0.46195101676698452</v>
      </c>
      <c r="O45" s="5"/>
      <c r="P45" s="5">
        <f>T30</f>
        <v>84.87813761311341</v>
      </c>
      <c r="Q45" s="5">
        <f t="shared" ref="Q45:R45" si="11">U30</f>
        <v>3.214259051876049</v>
      </c>
      <c r="R45" s="5">
        <f t="shared" si="11"/>
        <v>11.907603335010547</v>
      </c>
      <c r="S45" s="5">
        <f t="shared" si="4"/>
        <v>36.554688025149474</v>
      </c>
      <c r="T45" s="5">
        <f t="shared" si="5"/>
        <v>63.445311974850526</v>
      </c>
      <c r="W45" s="2" t="s">
        <v>75</v>
      </c>
      <c r="X45" s="5">
        <f t="shared" si="1"/>
        <v>84.87813761311341</v>
      </c>
      <c r="Y45" s="6">
        <f t="shared" si="1"/>
        <v>3.214259051876049</v>
      </c>
      <c r="Z45" s="5">
        <f t="shared" si="2"/>
        <v>63.445311974850526</v>
      </c>
      <c r="AA45" s="2">
        <f>E30</f>
        <v>100</v>
      </c>
      <c r="AG45"/>
      <c r="AH45"/>
      <c r="AI45"/>
      <c r="AJ45"/>
      <c r="AK45"/>
      <c r="AL45"/>
      <c r="AM45"/>
      <c r="AN45"/>
      <c r="AO45"/>
      <c r="AP45"/>
      <c r="AR45"/>
      <c r="AV45"/>
      <c r="AW45"/>
      <c r="AX45"/>
      <c r="AY45"/>
      <c r="AZ45"/>
      <c r="BA45"/>
      <c r="BB45"/>
    </row>
    <row r="46" spans="2:54">
      <c r="B46" s="59" t="s">
        <v>73</v>
      </c>
      <c r="C46" s="2" t="s">
        <v>76</v>
      </c>
      <c r="D46" s="5">
        <f>D31</f>
        <v>50</v>
      </c>
      <c r="E46" s="5">
        <f>SUM(D40:D46)/D3*100</f>
        <v>33.755891807029329</v>
      </c>
      <c r="F46" s="2"/>
      <c r="G46" s="2"/>
      <c r="H46" s="2"/>
      <c r="I46" s="6">
        <f t="shared" ref="I46:N46" si="12">F35</f>
        <v>0.74651689555326506</v>
      </c>
      <c r="J46" s="6">
        <f t="shared" si="12"/>
        <v>1.1370652441805862</v>
      </c>
      <c r="K46" s="6">
        <f t="shared" si="12"/>
        <v>28.788106279875556</v>
      </c>
      <c r="L46" s="6">
        <f t="shared" si="12"/>
        <v>8.6756488033470696</v>
      </c>
      <c r="M46" s="6">
        <f t="shared" si="12"/>
        <v>1.3679647742883179</v>
      </c>
      <c r="N46" s="6">
        <f t="shared" si="12"/>
        <v>0.35234043319311498</v>
      </c>
      <c r="O46" s="5"/>
      <c r="P46" s="5">
        <f>T35</f>
        <v>90.657842888402229</v>
      </c>
      <c r="Q46" s="6">
        <f>U35</f>
        <v>2.3878514476566957</v>
      </c>
      <c r="R46" s="5">
        <f>V35</f>
        <v>6.9543056639410681</v>
      </c>
      <c r="S46" s="5">
        <f t="shared" si="4"/>
        <v>37.530401362760855</v>
      </c>
      <c r="T46" s="5">
        <f t="shared" si="5"/>
        <v>62.469598637239145</v>
      </c>
      <c r="U46" s="22"/>
      <c r="W46" s="2" t="s">
        <v>76</v>
      </c>
      <c r="X46" s="5">
        <f t="shared" si="1"/>
        <v>90.657842888402229</v>
      </c>
      <c r="Y46" s="6">
        <f t="shared" si="1"/>
        <v>2.3878514476566957</v>
      </c>
      <c r="Z46" s="5">
        <f t="shared" si="2"/>
        <v>62.469598637239145</v>
      </c>
      <c r="AA46" s="2">
        <f>E35</f>
        <v>100</v>
      </c>
      <c r="AG46"/>
      <c r="AH46"/>
      <c r="AI46"/>
      <c r="AJ46"/>
      <c r="AK46"/>
      <c r="AL46"/>
      <c r="AM46"/>
      <c r="AN46"/>
      <c r="AO46"/>
      <c r="AP46"/>
      <c r="AR46"/>
      <c r="AV46"/>
      <c r="AW46"/>
      <c r="AX46"/>
      <c r="AY46"/>
      <c r="AZ46"/>
      <c r="BA46"/>
      <c r="BB46"/>
    </row>
    <row r="47" spans="2:54">
      <c r="I47" s="29"/>
      <c r="J47" s="29"/>
      <c r="K47" s="29"/>
      <c r="L47" s="29"/>
      <c r="M47" s="29"/>
      <c r="N47" s="29"/>
      <c r="P47"/>
      <c r="AG47"/>
      <c r="AH47"/>
      <c r="AI47"/>
      <c r="AJ47"/>
      <c r="AK47"/>
      <c r="AL47"/>
      <c r="AM47"/>
      <c r="AN47"/>
      <c r="AO47"/>
      <c r="AP47"/>
      <c r="AV47"/>
      <c r="AW47"/>
      <c r="AX47"/>
      <c r="AY47"/>
      <c r="AZ47"/>
      <c r="BA47"/>
      <c r="BB47"/>
    </row>
    <row r="48" spans="2:54">
      <c r="C48" s="8" t="s">
        <v>77</v>
      </c>
      <c r="AG48"/>
      <c r="AH48"/>
      <c r="AI48"/>
      <c r="AJ48"/>
      <c r="AK48"/>
      <c r="AL48"/>
      <c r="AM48"/>
      <c r="AN48"/>
      <c r="AO48"/>
      <c r="AP48"/>
      <c r="AV48"/>
      <c r="AW48"/>
      <c r="AX48"/>
      <c r="AY48"/>
      <c r="AZ48"/>
      <c r="BA48"/>
      <c r="BB48"/>
    </row>
    <row r="49" spans="2:54" ht="30">
      <c r="C49" s="16" t="s">
        <v>64</v>
      </c>
      <c r="D49" s="16" t="s">
        <v>65</v>
      </c>
      <c r="E49" s="15" t="s">
        <v>66</v>
      </c>
      <c r="F49" s="15" t="s">
        <v>78</v>
      </c>
      <c r="G49" s="15" t="s">
        <v>79</v>
      </c>
      <c r="H49" s="15" t="s">
        <v>80</v>
      </c>
      <c r="I49" s="16" t="s">
        <v>11</v>
      </c>
      <c r="J49" s="16" t="s">
        <v>12</v>
      </c>
      <c r="K49" s="16" t="s">
        <v>5</v>
      </c>
      <c r="L49" s="16" t="s">
        <v>6</v>
      </c>
      <c r="M49" s="16" t="s">
        <v>7</v>
      </c>
      <c r="N49" s="16" t="s">
        <v>8</v>
      </c>
      <c r="O49" s="16" t="s">
        <v>81</v>
      </c>
      <c r="P49" s="16" t="s">
        <v>21</v>
      </c>
      <c r="Q49" s="16" t="s">
        <v>22</v>
      </c>
      <c r="R49"/>
      <c r="S49"/>
      <c r="T49"/>
      <c r="U49"/>
      <c r="V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V49"/>
      <c r="AW49"/>
      <c r="AX49"/>
      <c r="AY49"/>
      <c r="AZ49"/>
      <c r="BA49"/>
      <c r="BB49"/>
    </row>
    <row r="50" spans="2:54" ht="15">
      <c r="B50" s="59" t="s">
        <v>68</v>
      </c>
      <c r="C50" s="60">
        <v>0</v>
      </c>
      <c r="D50" s="2">
        <v>0</v>
      </c>
      <c r="E50" s="2">
        <v>0</v>
      </c>
      <c r="F50" s="2">
        <v>0</v>
      </c>
      <c r="G50" s="12">
        <v>0</v>
      </c>
      <c r="H50" s="12">
        <v>0</v>
      </c>
      <c r="I50" s="6"/>
      <c r="J50" s="6"/>
      <c r="K50" s="6"/>
      <c r="L50" s="6"/>
      <c r="M50" s="6"/>
      <c r="N50" s="6"/>
      <c r="O50" s="12"/>
      <c r="P50" s="3"/>
      <c r="Q50" s="3"/>
      <c r="R50"/>
      <c r="S50"/>
      <c r="T50"/>
      <c r="U50"/>
      <c r="V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V50"/>
      <c r="AW50"/>
      <c r="AX50"/>
      <c r="AY50"/>
      <c r="AZ50"/>
      <c r="BA50"/>
      <c r="BB50"/>
    </row>
    <row r="51" spans="2:54">
      <c r="B51" s="59" t="s">
        <v>69</v>
      </c>
      <c r="C51" s="2">
        <v>1</v>
      </c>
      <c r="D51" s="5">
        <f>D4</f>
        <v>114.86459414618093</v>
      </c>
      <c r="E51" s="5">
        <f>D51/D3*100</f>
        <v>11.486459414618093</v>
      </c>
      <c r="F51" s="2">
        <v>0</v>
      </c>
      <c r="G51" s="12">
        <v>0</v>
      </c>
      <c r="H51" s="12">
        <v>0</v>
      </c>
      <c r="I51" s="6"/>
      <c r="J51" s="6"/>
      <c r="K51" s="6"/>
      <c r="L51" s="6"/>
      <c r="M51" s="6"/>
      <c r="N51" s="6"/>
      <c r="O51" s="12"/>
      <c r="P51" s="3"/>
      <c r="Q51" s="3"/>
      <c r="R51"/>
      <c r="S51"/>
      <c r="T51"/>
      <c r="U51"/>
      <c r="V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V51"/>
      <c r="AW51"/>
      <c r="AX51"/>
      <c r="AY51"/>
      <c r="AZ51"/>
      <c r="BA51"/>
      <c r="BB51"/>
    </row>
    <row r="52" spans="2:54">
      <c r="B52" s="59" t="s">
        <v>70</v>
      </c>
      <c r="C52" s="2">
        <v>2</v>
      </c>
      <c r="D52" s="5">
        <f>D6</f>
        <v>107.69413795762584</v>
      </c>
      <c r="E52" s="5">
        <f>(D52+D51)/D3*100</f>
        <v>22.255873210380678</v>
      </c>
      <c r="F52" s="5">
        <f>D7</f>
        <v>14.109547757915363</v>
      </c>
      <c r="G52" s="5">
        <v>0</v>
      </c>
      <c r="H52" s="5">
        <v>0</v>
      </c>
      <c r="I52" s="6"/>
      <c r="J52" s="6"/>
      <c r="K52" s="5">
        <f>(F52/(23+35.5)+G52/(39+35.5)+H52/278*3)*35.5/SUM(F52:H52)*100</f>
        <v>60.683760683760688</v>
      </c>
      <c r="L52" s="5">
        <f>H52/278*24.3/SUM(F52:H52)*100</f>
        <v>0</v>
      </c>
      <c r="M52" s="5">
        <f>(G52/(39+35.5)+H52/278)*39/SUM(F52:H52)*100</f>
        <v>0</v>
      </c>
      <c r="N52" s="5">
        <f>F52/(23+35.5)*23/SUM(F52:H52)*100</f>
        <v>39.316239316239319</v>
      </c>
      <c r="O52" s="5">
        <f>H52/278*6*18/SUM(F52:H52)*100</f>
        <v>0</v>
      </c>
      <c r="P52" s="5">
        <f t="shared" ref="P52:P54" si="13">L52/24.3*(24.3+35.5*2)/(100-O52)*100</f>
        <v>0</v>
      </c>
      <c r="Q52" s="5">
        <f t="shared" ref="Q52:Q54" si="14">N52/23*(23+35.5)/(100-O52)*100</f>
        <v>100.00000000000003</v>
      </c>
      <c r="R52"/>
      <c r="S52"/>
      <c r="T52"/>
      <c r="U52"/>
      <c r="V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V52"/>
      <c r="AW52"/>
      <c r="AX52"/>
      <c r="AY52"/>
      <c r="AZ52"/>
      <c r="BA52"/>
      <c r="BB52"/>
    </row>
    <row r="53" spans="2:54">
      <c r="B53" s="59" t="s">
        <v>71</v>
      </c>
      <c r="C53" s="2">
        <v>3</v>
      </c>
      <c r="D53" s="5">
        <f>D11</f>
        <v>0</v>
      </c>
      <c r="E53" s="5">
        <f>SUM(D51:D53)/D3*100</f>
        <v>22.255873210380678</v>
      </c>
      <c r="F53" s="5">
        <f>F52+D12</f>
        <v>14.113231352752587</v>
      </c>
      <c r="G53" s="5">
        <f>D13</f>
        <v>1.6153730277060016E-3</v>
      </c>
      <c r="H53" s="5">
        <v>0</v>
      </c>
      <c r="I53" s="6"/>
      <c r="J53" s="6"/>
      <c r="K53" s="5">
        <f t="shared" ref="K53:K54" si="15">(F53/(23+35.5)+G53/(39+35.5)+H53/278*3)*35.5/SUM(F53:H53)*100</f>
        <v>60.682269150791704</v>
      </c>
      <c r="L53" s="5">
        <f t="shared" ref="L53:L54" si="16">H53/278*24.3/SUM(F53:H53)*100</f>
        <v>0</v>
      </c>
      <c r="M53" s="5">
        <f t="shared" ref="M53:M54" si="17">(G53/(39+35.5)+H53/278)*39/SUM(F53:H53)*100</f>
        <v>5.9910782900320127E-3</v>
      </c>
      <c r="N53" s="5">
        <f t="shared" ref="N53:N54" si="18">F53/(23+35.5)*23/SUM(F53:H53)*100</f>
        <v>39.311739770918273</v>
      </c>
      <c r="O53" s="5">
        <f t="shared" ref="O53:O54" si="19">H53/278*6*18/SUM(F53:H53)*100</f>
        <v>0</v>
      </c>
      <c r="P53" s="5">
        <f t="shared" si="13"/>
        <v>0</v>
      </c>
      <c r="Q53" s="5">
        <f t="shared" si="14"/>
        <v>99.988555504292123</v>
      </c>
      <c r="R53"/>
      <c r="S53"/>
      <c r="T53"/>
      <c r="U53"/>
      <c r="V53"/>
      <c r="AA53"/>
      <c r="AB53"/>
      <c r="AC53"/>
      <c r="AD53"/>
      <c r="AE53"/>
      <c r="AF53"/>
      <c r="AG53"/>
      <c r="AH53"/>
      <c r="AV53"/>
      <c r="AW53"/>
      <c r="AX53"/>
      <c r="AY53"/>
      <c r="AZ53"/>
      <c r="BA53"/>
      <c r="BB53"/>
    </row>
    <row r="54" spans="2:54">
      <c r="B54" s="59" t="s">
        <v>72</v>
      </c>
      <c r="C54" s="2">
        <v>4</v>
      </c>
      <c r="D54" s="5">
        <f>D16</f>
        <v>1.859664865365515E-4</v>
      </c>
      <c r="E54" s="5">
        <f>SUM(D51:D54)/D3*100</f>
        <v>22.255891807029332</v>
      </c>
      <c r="F54" s="5">
        <f>F53+D17</f>
        <v>14.113684923995489</v>
      </c>
      <c r="G54" s="5">
        <f>G53+D18</f>
        <v>0</v>
      </c>
      <c r="H54" s="5">
        <f>D19</f>
        <v>1.3886874610447375E-2</v>
      </c>
      <c r="I54" s="6"/>
      <c r="J54" s="6"/>
      <c r="K54" s="5">
        <f t="shared" si="15"/>
        <v>60.661767477489256</v>
      </c>
      <c r="L54" s="5">
        <f t="shared" si="16"/>
        <v>8.5920830986306613E-3</v>
      </c>
      <c r="M54" s="5">
        <f t="shared" si="17"/>
        <v>1.3789762997802298E-2</v>
      </c>
      <c r="N54" s="5">
        <f t="shared" si="18"/>
        <v>39.277592923687074</v>
      </c>
      <c r="O54" s="5">
        <f t="shared" si="19"/>
        <v>3.8187035993914056E-2</v>
      </c>
      <c r="P54" s="5">
        <f t="shared" si="13"/>
        <v>3.3709396047164913E-2</v>
      </c>
      <c r="Q54" s="5">
        <f t="shared" si="14"/>
        <v>99.939867813976733</v>
      </c>
      <c r="R54"/>
      <c r="S54"/>
      <c r="T54"/>
      <c r="U54"/>
      <c r="V54"/>
      <c r="W54"/>
      <c r="AV54"/>
      <c r="AW54"/>
      <c r="AX54"/>
      <c r="AY54"/>
      <c r="AZ54"/>
      <c r="BA54"/>
      <c r="BB54"/>
    </row>
    <row r="55" spans="2:54">
      <c r="B55" s="59" t="s">
        <v>73</v>
      </c>
      <c r="C55" s="2" t="s">
        <v>74</v>
      </c>
      <c r="D55" s="5">
        <f>D21</f>
        <v>25</v>
      </c>
      <c r="E55" s="5">
        <f>SUM(D40:D44)/D3*100</f>
        <v>24.755891807029332</v>
      </c>
      <c r="F55" s="5">
        <f>F54+D22</f>
        <v>17.836122652590674</v>
      </c>
      <c r="G55" s="5">
        <f>G54+D23</f>
        <v>0</v>
      </c>
      <c r="H55" s="5">
        <f>H54+D24</f>
        <v>50.393787087454314</v>
      </c>
      <c r="I55" s="6"/>
      <c r="J55" s="6"/>
      <c r="K55" s="5">
        <f>(F55/(23+35.5)+G55/(39+35.5)+H55/278*3)*35.5/SUM(F55:H55)*100</f>
        <v>44.158293104956229</v>
      </c>
      <c r="L55" s="5">
        <f>H55/278*24.3/SUM(F55:H55)*100</f>
        <v>6.4560023185570552</v>
      </c>
      <c r="M55" s="5">
        <f>(G55/(39+35.5)+H55/278)*39/SUM(F55:H55)*100</f>
        <v>10.361485202622433</v>
      </c>
      <c r="N55" s="5">
        <f>F55/(23+35.5)*23/SUM(F55:H55)*100</f>
        <v>10.277739914281026</v>
      </c>
      <c r="O55" s="5">
        <f>H55/278*6*18/SUM(F55:H55)*100</f>
        <v>28.693343638031354</v>
      </c>
      <c r="P55" s="5">
        <f>L55/24.3*(24.3+35.5*2)/(100-O55)*100</f>
        <v>35.507511165520114</v>
      </c>
      <c r="Q55" s="5">
        <f>N55/23*(23+35.5)/(100-O55)*100</f>
        <v>36.660263398337676</v>
      </c>
      <c r="R55"/>
      <c r="S55"/>
      <c r="T55"/>
      <c r="AV55"/>
      <c r="AW55"/>
      <c r="AX55"/>
      <c r="AY55"/>
      <c r="AZ55"/>
      <c r="BA55"/>
      <c r="BB55"/>
    </row>
    <row r="56" spans="2:54">
      <c r="B56" s="59" t="s">
        <v>73</v>
      </c>
      <c r="C56" s="2" t="s">
        <v>75</v>
      </c>
      <c r="D56" s="5">
        <f>D26</f>
        <v>40</v>
      </c>
      <c r="E56" s="5">
        <f>SUM(D39:D45)/D3*100</f>
        <v>28.755891807029332</v>
      </c>
      <c r="F56" s="5">
        <f>F55+D27</f>
        <v>21.271449974184254</v>
      </c>
      <c r="G56" s="5">
        <f>G55+D28</f>
        <v>0</v>
      </c>
      <c r="H56" s="5">
        <f>H55+D29</f>
        <v>98.711617408903692</v>
      </c>
      <c r="I56" s="6"/>
      <c r="J56" s="6"/>
      <c r="K56" s="5">
        <f>(F56/(23+35.5)+G56/(39+35.5)+H56/278*3)*35.5/SUM(F56:H56)*100</f>
        <v>42.276046438892564</v>
      </c>
      <c r="L56" s="5">
        <f>H56/278*24.3/SUM(F56:H56)*100</f>
        <v>7.1913393843468985</v>
      </c>
      <c r="M56" s="5">
        <f>(G56/(39+35.5)+H56/278)*39/SUM(F56:H56)*100</f>
        <v>11.541655802038232</v>
      </c>
      <c r="N56" s="5">
        <f>F56/(23+35.5)*23/SUM(F56:H56)*100</f>
        <v>6.9702620213752109</v>
      </c>
      <c r="O56" s="5">
        <f>H56/278*6*18/SUM(F56:H56)*100</f>
        <v>31.961508374875102</v>
      </c>
      <c r="P56" s="5">
        <f>L56/24.3*(24.3+35.5*2)/(100-O56)*100</f>
        <v>41.451641663803429</v>
      </c>
      <c r="Q56" s="5">
        <f>N56/23*(23+35.5)/(100-O56)*100</f>
        <v>26.056882656384229</v>
      </c>
      <c r="R56"/>
      <c r="S56"/>
      <c r="T56"/>
      <c r="Y56"/>
      <c r="Z56"/>
      <c r="AJ56"/>
      <c r="AK56"/>
      <c r="AL56"/>
      <c r="AM56"/>
      <c r="AN56"/>
      <c r="AO56"/>
      <c r="AP56"/>
      <c r="AQ56"/>
      <c r="AR56"/>
      <c r="AV56"/>
      <c r="AW56"/>
      <c r="AX56"/>
      <c r="AY56"/>
      <c r="AZ56"/>
      <c r="BA56"/>
      <c r="BB56"/>
    </row>
    <row r="57" spans="2:54">
      <c r="B57" s="59" t="s">
        <v>73</v>
      </c>
      <c r="C57" s="2" t="s">
        <v>76</v>
      </c>
      <c r="D57" s="5">
        <f>D31</f>
        <v>50</v>
      </c>
      <c r="E57" s="5">
        <f>SUM(D40:D46)/D3*100</f>
        <v>33.755891807029329</v>
      </c>
      <c r="F57" s="5">
        <f>F56+D32</f>
        <v>23.826888246515519</v>
      </c>
      <c r="G57" s="5">
        <f>G56+D33</f>
        <v>0</v>
      </c>
      <c r="H57" s="5">
        <f>H56+D34</f>
        <v>146.99772500567275</v>
      </c>
      <c r="I57" s="6"/>
      <c r="J57" s="6"/>
      <c r="K57" s="5">
        <f>(F57/(23+35.5)+G57/(39+35.5)+H57/278*3)*35.5/SUM(F57:H57)*100</f>
        <v>41.43017048911026</v>
      </c>
      <c r="L57" s="5">
        <f>H57/278*24.3/SUM(F57:H57)*100</f>
        <v>7.5217976341340584</v>
      </c>
      <c r="M57" s="5">
        <f>(G57/(39+35.5)+H57/278)*39/SUM(F57:H57)*100</f>
        <v>12.07202089428923</v>
      </c>
      <c r="N57" s="5">
        <f>F57/(23+35.5)*23/SUM(F57:H57)*100</f>
        <v>5.4838914757460673</v>
      </c>
      <c r="O57" s="5">
        <f>H57/278*6*18/SUM(F57:H57)*100</f>
        <v>33.430211707262487</v>
      </c>
      <c r="P57" s="5">
        <f>L57/24.3*(24.3+35.5*2)/(100-O57)*100</f>
        <v>44.312994224895967</v>
      </c>
      <c r="Q57" s="5">
        <f>N57/23*(23+35.5)/(100-O57)*100</f>
        <v>20.952686062619982</v>
      </c>
      <c r="R57"/>
      <c r="S57"/>
      <c r="T57"/>
      <c r="U57"/>
      <c r="V57"/>
      <c r="W57" s="61"/>
      <c r="X57"/>
      <c r="Y57"/>
      <c r="Z57"/>
      <c r="AJ57"/>
      <c r="AK57"/>
      <c r="AL57"/>
      <c r="AM57"/>
      <c r="AN57"/>
      <c r="AO57"/>
      <c r="AP57"/>
      <c r="AQ57"/>
      <c r="AR57"/>
    </row>
    <row r="58" spans="2:54">
      <c r="Y58"/>
      <c r="Z58"/>
      <c r="AJ58"/>
      <c r="AK58"/>
      <c r="AL58"/>
      <c r="AM58"/>
      <c r="AN58"/>
      <c r="AO58"/>
      <c r="AP58"/>
      <c r="AQ58"/>
      <c r="AR58"/>
    </row>
    <row r="59" spans="2:54">
      <c r="Y59"/>
      <c r="Z59"/>
      <c r="AA59"/>
      <c r="AJ59"/>
      <c r="AK59"/>
      <c r="AL59"/>
      <c r="AM59"/>
      <c r="AN59"/>
      <c r="AO59"/>
      <c r="AP59"/>
      <c r="AQ59"/>
      <c r="AR59"/>
    </row>
    <row r="60" spans="2:54">
      <c r="Y60"/>
      <c r="Z60"/>
      <c r="AA60"/>
      <c r="AJ60"/>
      <c r="AK60"/>
      <c r="AL60"/>
      <c r="AM60"/>
      <c r="AN60"/>
      <c r="AO60"/>
      <c r="AP60"/>
      <c r="AQ60"/>
      <c r="AR60"/>
    </row>
    <row r="61" spans="2:54">
      <c r="Y61"/>
      <c r="Z61"/>
      <c r="AA61"/>
      <c r="AJ61"/>
      <c r="AK61"/>
      <c r="AL61"/>
      <c r="AM61"/>
      <c r="AN61"/>
      <c r="AO61"/>
      <c r="AP61"/>
      <c r="AQ61"/>
      <c r="AR61"/>
    </row>
    <row r="62" spans="2:54"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2:54">
      <c r="Y63"/>
      <c r="Z63"/>
      <c r="AJ63"/>
      <c r="AK63"/>
      <c r="AL63"/>
      <c r="AM63"/>
      <c r="AN63"/>
      <c r="AO63"/>
      <c r="AP63"/>
      <c r="AQ63"/>
      <c r="AR63"/>
    </row>
    <row r="64" spans="2:54">
      <c r="Y64"/>
      <c r="Z64"/>
      <c r="AJ64"/>
      <c r="AK64"/>
      <c r="AL64"/>
      <c r="AM64"/>
      <c r="AN64"/>
      <c r="AO64"/>
      <c r="AP64"/>
      <c r="AQ64"/>
      <c r="AR64"/>
    </row>
    <row r="65" spans="17:44">
      <c r="Y65"/>
      <c r="Z65"/>
      <c r="AJ65"/>
      <c r="AK65"/>
      <c r="AL65"/>
      <c r="AM65"/>
      <c r="AN65"/>
      <c r="AO65"/>
      <c r="AP65"/>
      <c r="AQ65"/>
      <c r="AR65"/>
    </row>
    <row r="66" spans="17:44">
      <c r="Y66"/>
      <c r="Z66"/>
      <c r="AJ66"/>
      <c r="AK66"/>
      <c r="AL66"/>
      <c r="AM66"/>
      <c r="AN66"/>
      <c r="AO66"/>
      <c r="AP66"/>
      <c r="AQ66"/>
      <c r="AR66"/>
    </row>
    <row r="67" spans="17:44"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7:44"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7:44"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7:44"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7:44"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7:44"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7:44">
      <c r="Q73"/>
      <c r="R73"/>
      <c r="S73"/>
      <c r="T73"/>
      <c r="U73"/>
      <c r="V73"/>
      <c r="W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7:44">
      <c r="Q74"/>
      <c r="R74"/>
      <c r="S74"/>
      <c r="T74"/>
      <c r="U74"/>
      <c r="V74"/>
      <c r="W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7:44">
      <c r="Q75"/>
      <c r="R75"/>
      <c r="S75"/>
      <c r="T75"/>
      <c r="U75"/>
      <c r="V75"/>
      <c r="W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7:44">
      <c r="Q76"/>
      <c r="R76"/>
      <c r="S76"/>
      <c r="T76"/>
      <c r="U76"/>
      <c r="V76"/>
      <c r="W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7:44">
      <c r="Q77"/>
      <c r="R77"/>
      <c r="S77"/>
      <c r="T77"/>
      <c r="U77"/>
      <c r="V77"/>
      <c r="W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</row>
    <row r="78" spans="17:44">
      <c r="Q78"/>
      <c r="R78"/>
      <c r="S78"/>
      <c r="T78"/>
      <c r="U78"/>
      <c r="V78"/>
      <c r="W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</row>
    <row r="79" spans="17:44"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</row>
    <row r="80" spans="17:44"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</row>
    <row r="81" spans="1:44"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</row>
    <row r="82" spans="1:44"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</row>
    <row r="83" spans="1:44"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</row>
    <row r="84" spans="1:44" s="62" customForma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spans="1:4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pans="1:44" ht="45">
      <c r="A86" s="63"/>
      <c r="B86" s="63" t="s">
        <v>82</v>
      </c>
      <c r="C86" s="63" t="s">
        <v>83</v>
      </c>
      <c r="D86" s="63" t="s">
        <v>84</v>
      </c>
      <c r="E86" s="63" t="s">
        <v>85</v>
      </c>
      <c r="F86" s="63" t="s">
        <v>86</v>
      </c>
      <c r="G86" s="63" t="s">
        <v>87</v>
      </c>
      <c r="H86" s="63" t="s">
        <v>88</v>
      </c>
      <c r="I86" s="63" t="s">
        <v>89</v>
      </c>
      <c r="J86" s="63" t="s">
        <v>90</v>
      </c>
      <c r="K86" s="63" t="s">
        <v>91</v>
      </c>
      <c r="L86" s="63" t="s">
        <v>92</v>
      </c>
      <c r="M86" s="63" t="s">
        <v>93</v>
      </c>
      <c r="N86" s="63" t="s">
        <v>29</v>
      </c>
      <c r="O86" s="63" t="s">
        <v>30</v>
      </c>
      <c r="P86" s="63" t="s">
        <v>31</v>
      </c>
      <c r="Q86" s="14" t="s">
        <v>66</v>
      </c>
    </row>
    <row r="87" spans="1:44" ht="15">
      <c r="A87" s="64">
        <v>0</v>
      </c>
      <c r="B87" s="65">
        <v>100</v>
      </c>
      <c r="C87" s="65">
        <v>1000</v>
      </c>
      <c r="D87" s="65">
        <v>0</v>
      </c>
      <c r="E87" s="65">
        <v>1000</v>
      </c>
      <c r="F87" s="65">
        <v>0</v>
      </c>
      <c r="G87" s="65">
        <v>0</v>
      </c>
      <c r="H87" s="65">
        <v>1.1100000000000001</v>
      </c>
      <c r="I87" s="65">
        <v>2.74</v>
      </c>
      <c r="J87" s="65">
        <v>5.55</v>
      </c>
      <c r="K87" s="65">
        <v>21.2</v>
      </c>
      <c r="L87" s="65">
        <v>0.36699999999999999</v>
      </c>
      <c r="M87" s="65">
        <v>0.55900000000000005</v>
      </c>
      <c r="N87" s="65">
        <v>73</v>
      </c>
      <c r="O87" s="65">
        <v>9.4700000000000006</v>
      </c>
      <c r="P87" s="65">
        <v>70.2</v>
      </c>
      <c r="Q87" s="4">
        <v>0</v>
      </c>
    </row>
    <row r="88" spans="1:44" ht="15">
      <c r="A88" s="64">
        <v>1</v>
      </c>
      <c r="B88" s="65">
        <v>100</v>
      </c>
      <c r="C88" s="65">
        <v>1000</v>
      </c>
      <c r="D88" s="65">
        <v>10</v>
      </c>
      <c r="E88" s="65">
        <v>990</v>
      </c>
      <c r="F88" s="65">
        <v>0</v>
      </c>
      <c r="G88" s="65">
        <v>0</v>
      </c>
      <c r="H88" s="65">
        <v>1.1200000000000001</v>
      </c>
      <c r="I88" s="65">
        <v>2.77</v>
      </c>
      <c r="J88" s="65">
        <v>5.61</v>
      </c>
      <c r="K88" s="65">
        <v>21.4</v>
      </c>
      <c r="L88" s="65">
        <v>0.371</v>
      </c>
      <c r="M88" s="65">
        <v>0.56499999999999995</v>
      </c>
      <c r="N88" s="65">
        <v>73</v>
      </c>
      <c r="O88" s="65">
        <v>9.4700000000000006</v>
      </c>
      <c r="P88" s="65">
        <v>69.900000000000006</v>
      </c>
      <c r="Q88" s="4">
        <f>SUM($D$87:D88)/$C$87*100</f>
        <v>1</v>
      </c>
    </row>
    <row r="89" spans="1:44" ht="15">
      <c r="A89" s="64">
        <v>2</v>
      </c>
      <c r="B89" s="65">
        <v>100</v>
      </c>
      <c r="C89" s="65">
        <v>990</v>
      </c>
      <c r="D89" s="65">
        <v>10</v>
      </c>
      <c r="E89" s="65">
        <v>980</v>
      </c>
      <c r="F89" s="65">
        <v>0</v>
      </c>
      <c r="G89" s="65">
        <v>0</v>
      </c>
      <c r="H89" s="65">
        <v>1.1299999999999999</v>
      </c>
      <c r="I89" s="65">
        <v>2.8</v>
      </c>
      <c r="J89" s="65">
        <v>5.66</v>
      </c>
      <c r="K89" s="65">
        <v>21.7</v>
      </c>
      <c r="L89" s="65">
        <v>0.374</v>
      </c>
      <c r="M89" s="65">
        <v>0.56999999999999995</v>
      </c>
      <c r="N89" s="65">
        <v>73</v>
      </c>
      <c r="O89" s="65">
        <v>9.4700000000000006</v>
      </c>
      <c r="P89" s="65">
        <v>69.599999999999994</v>
      </c>
      <c r="Q89" s="4">
        <f>SUM($D$87:D89)/$C$87*100</f>
        <v>2</v>
      </c>
    </row>
    <row r="90" spans="1:44" ht="15">
      <c r="A90" s="64">
        <v>3</v>
      </c>
      <c r="B90" s="65">
        <v>100</v>
      </c>
      <c r="C90" s="65">
        <v>980</v>
      </c>
      <c r="D90" s="65">
        <v>10</v>
      </c>
      <c r="E90" s="65">
        <v>970</v>
      </c>
      <c r="F90" s="65">
        <v>0</v>
      </c>
      <c r="G90" s="65">
        <v>0</v>
      </c>
      <c r="H90" s="65">
        <v>1.1399999999999999</v>
      </c>
      <c r="I90" s="65">
        <v>2.82</v>
      </c>
      <c r="J90" s="65">
        <v>5.72</v>
      </c>
      <c r="K90" s="65">
        <v>21.9</v>
      </c>
      <c r="L90" s="65">
        <v>0.378</v>
      </c>
      <c r="M90" s="65">
        <v>0.57599999999999996</v>
      </c>
      <c r="N90" s="65">
        <v>73</v>
      </c>
      <c r="O90" s="65">
        <v>9.4700000000000006</v>
      </c>
      <c r="P90" s="65">
        <v>69.3</v>
      </c>
      <c r="Q90" s="4">
        <f>SUM($D$87:D90)/$C$87*100</f>
        <v>3</v>
      </c>
    </row>
    <row r="91" spans="1:44" ht="15">
      <c r="A91" s="64">
        <v>4</v>
      </c>
      <c r="B91" s="65">
        <v>100</v>
      </c>
      <c r="C91" s="65">
        <v>970</v>
      </c>
      <c r="D91" s="65">
        <v>10</v>
      </c>
      <c r="E91" s="65">
        <v>960</v>
      </c>
      <c r="F91" s="65">
        <v>0</v>
      </c>
      <c r="G91" s="65">
        <v>0</v>
      </c>
      <c r="H91" s="65">
        <v>1.1599999999999999</v>
      </c>
      <c r="I91" s="65">
        <v>2.85</v>
      </c>
      <c r="J91" s="65">
        <v>5.78</v>
      </c>
      <c r="K91" s="65">
        <v>22.1</v>
      </c>
      <c r="L91" s="65">
        <v>0.38200000000000001</v>
      </c>
      <c r="M91" s="65">
        <v>0.58199999999999996</v>
      </c>
      <c r="N91" s="65">
        <v>73</v>
      </c>
      <c r="O91" s="65">
        <v>9.4700000000000006</v>
      </c>
      <c r="P91" s="65">
        <v>68.900000000000006</v>
      </c>
      <c r="Q91" s="4">
        <f>SUM($D$87:D91)/$C$87*100</f>
        <v>4</v>
      </c>
    </row>
    <row r="92" spans="1:44" ht="15">
      <c r="A92" s="64">
        <v>5</v>
      </c>
      <c r="B92" s="65">
        <v>100</v>
      </c>
      <c r="C92" s="65">
        <v>960</v>
      </c>
      <c r="D92" s="65">
        <v>10</v>
      </c>
      <c r="E92" s="65">
        <v>950</v>
      </c>
      <c r="F92" s="65">
        <v>0</v>
      </c>
      <c r="G92" s="65">
        <v>0</v>
      </c>
      <c r="H92" s="65">
        <v>1.17</v>
      </c>
      <c r="I92" s="65">
        <v>2.88</v>
      </c>
      <c r="J92" s="65">
        <v>5.84</v>
      </c>
      <c r="K92" s="65">
        <v>22.3</v>
      </c>
      <c r="L92" s="65">
        <v>0.38600000000000001</v>
      </c>
      <c r="M92" s="65">
        <v>0.58799999999999997</v>
      </c>
      <c r="N92" s="65">
        <v>73</v>
      </c>
      <c r="O92" s="65">
        <v>9.4700000000000006</v>
      </c>
      <c r="P92" s="65">
        <v>68.599999999999994</v>
      </c>
      <c r="Q92" s="4">
        <f>SUM($D$87:D92)/$C$87*100</f>
        <v>5</v>
      </c>
    </row>
    <row r="93" spans="1:44" ht="15">
      <c r="A93" s="64">
        <v>6</v>
      </c>
      <c r="B93" s="65">
        <v>100</v>
      </c>
      <c r="C93" s="65">
        <v>950</v>
      </c>
      <c r="D93" s="65">
        <v>10</v>
      </c>
      <c r="E93" s="65">
        <v>940</v>
      </c>
      <c r="F93" s="65">
        <v>0</v>
      </c>
      <c r="G93" s="65">
        <v>0</v>
      </c>
      <c r="H93" s="65">
        <v>1.18</v>
      </c>
      <c r="I93" s="65">
        <v>2.91</v>
      </c>
      <c r="J93" s="65">
        <v>5.9</v>
      </c>
      <c r="K93" s="65">
        <v>22.6</v>
      </c>
      <c r="L93" s="65">
        <v>0.39</v>
      </c>
      <c r="M93" s="65">
        <v>0.59499999999999997</v>
      </c>
      <c r="N93" s="65">
        <v>73</v>
      </c>
      <c r="O93" s="65">
        <v>9.4700000000000006</v>
      </c>
      <c r="P93" s="65">
        <v>68.3</v>
      </c>
      <c r="Q93" s="4">
        <f>SUM($D$87:D93)/$C$87*100</f>
        <v>6</v>
      </c>
    </row>
    <row r="94" spans="1:44" ht="15">
      <c r="A94" s="64">
        <v>7</v>
      </c>
      <c r="B94" s="65">
        <v>100</v>
      </c>
      <c r="C94" s="65">
        <v>940</v>
      </c>
      <c r="D94" s="65">
        <v>10</v>
      </c>
      <c r="E94" s="65">
        <v>930</v>
      </c>
      <c r="F94" s="65">
        <v>0</v>
      </c>
      <c r="G94" s="65">
        <v>0</v>
      </c>
      <c r="H94" s="65">
        <v>1.19</v>
      </c>
      <c r="I94" s="65">
        <v>2.95</v>
      </c>
      <c r="J94" s="65">
        <v>5.97</v>
      </c>
      <c r="K94" s="65">
        <v>22.8</v>
      </c>
      <c r="L94" s="65">
        <v>0.39500000000000002</v>
      </c>
      <c r="M94" s="65">
        <v>0.60099999999999998</v>
      </c>
      <c r="N94" s="65">
        <v>73</v>
      </c>
      <c r="O94" s="65">
        <v>9.4700000000000006</v>
      </c>
      <c r="P94" s="65">
        <v>67.900000000000006</v>
      </c>
      <c r="Q94" s="4">
        <f>SUM($D$87:D94)/$C$87*100</f>
        <v>7.0000000000000009</v>
      </c>
    </row>
    <row r="95" spans="1:44" ht="15">
      <c r="A95" s="64">
        <v>8</v>
      </c>
      <c r="B95" s="65">
        <v>100</v>
      </c>
      <c r="C95" s="65">
        <v>930</v>
      </c>
      <c r="D95" s="65">
        <v>10</v>
      </c>
      <c r="E95" s="65">
        <v>920</v>
      </c>
      <c r="F95" s="65">
        <v>0</v>
      </c>
      <c r="G95" s="65">
        <v>0</v>
      </c>
      <c r="H95" s="65">
        <v>1.21</v>
      </c>
      <c r="I95" s="65">
        <v>2.98</v>
      </c>
      <c r="J95" s="65">
        <v>6.03</v>
      </c>
      <c r="K95" s="65">
        <v>23.1</v>
      </c>
      <c r="L95" s="65">
        <v>0.39900000000000002</v>
      </c>
      <c r="M95" s="65">
        <v>0.60799999999999998</v>
      </c>
      <c r="N95" s="65">
        <v>73</v>
      </c>
      <c r="O95" s="65">
        <v>9.4700000000000006</v>
      </c>
      <c r="P95" s="65">
        <v>67.599999999999994</v>
      </c>
      <c r="Q95" s="4">
        <f>SUM($D$87:D95)/$C$87*100</f>
        <v>8</v>
      </c>
    </row>
    <row r="96" spans="1:44" ht="15">
      <c r="A96" s="64">
        <v>9</v>
      </c>
      <c r="B96" s="65">
        <v>100</v>
      </c>
      <c r="C96" s="65">
        <v>920</v>
      </c>
      <c r="D96" s="65">
        <v>10</v>
      </c>
      <c r="E96" s="65">
        <v>910</v>
      </c>
      <c r="F96" s="65">
        <v>0</v>
      </c>
      <c r="G96" s="65">
        <v>0</v>
      </c>
      <c r="H96" s="65">
        <v>1.22</v>
      </c>
      <c r="I96" s="65">
        <v>3.01</v>
      </c>
      <c r="J96" s="65">
        <v>6.1</v>
      </c>
      <c r="K96" s="65">
        <v>23.3</v>
      </c>
      <c r="L96" s="65">
        <v>0.40300000000000002</v>
      </c>
      <c r="M96" s="65">
        <v>0.61399999999999999</v>
      </c>
      <c r="N96" s="65">
        <v>73</v>
      </c>
      <c r="O96" s="65">
        <v>9.4700000000000006</v>
      </c>
      <c r="P96" s="65">
        <v>67.2</v>
      </c>
      <c r="Q96" s="4">
        <f>SUM($D$87:D96)/$C$87*100</f>
        <v>9</v>
      </c>
    </row>
    <row r="97" spans="1:17" ht="15">
      <c r="A97" s="64">
        <v>10</v>
      </c>
      <c r="B97" s="65">
        <v>100</v>
      </c>
      <c r="C97" s="65">
        <v>910</v>
      </c>
      <c r="D97" s="65">
        <v>10</v>
      </c>
      <c r="E97" s="65">
        <v>900</v>
      </c>
      <c r="F97" s="65">
        <v>0</v>
      </c>
      <c r="G97" s="65">
        <v>0</v>
      </c>
      <c r="H97" s="65">
        <v>1.23</v>
      </c>
      <c r="I97" s="65">
        <v>3.04</v>
      </c>
      <c r="J97" s="65">
        <v>6.17</v>
      </c>
      <c r="K97" s="65">
        <v>23.6</v>
      </c>
      <c r="L97" s="65">
        <v>0.40799999999999997</v>
      </c>
      <c r="M97" s="65">
        <v>0.621</v>
      </c>
      <c r="N97" s="65">
        <v>73</v>
      </c>
      <c r="O97" s="65">
        <v>9.4700000000000006</v>
      </c>
      <c r="P97" s="65">
        <v>66.900000000000006</v>
      </c>
      <c r="Q97" s="4">
        <f>SUM($D$87:D97)/$C$87*100</f>
        <v>10</v>
      </c>
    </row>
    <row r="98" spans="1:17" ht="15">
      <c r="A98" s="64">
        <v>11</v>
      </c>
      <c r="B98" s="65">
        <v>100</v>
      </c>
      <c r="C98" s="65">
        <v>900</v>
      </c>
      <c r="D98" s="65">
        <v>10</v>
      </c>
      <c r="E98" s="65">
        <v>890</v>
      </c>
      <c r="F98" s="65">
        <v>0</v>
      </c>
      <c r="G98" s="65">
        <v>0</v>
      </c>
      <c r="H98" s="65">
        <v>1.25</v>
      </c>
      <c r="I98" s="65">
        <v>3.08</v>
      </c>
      <c r="J98" s="65">
        <v>6.24</v>
      </c>
      <c r="K98" s="65">
        <v>23.9</v>
      </c>
      <c r="L98" s="65">
        <v>0.41199999999999998</v>
      </c>
      <c r="M98" s="65">
        <v>0.628</v>
      </c>
      <c r="N98" s="65">
        <v>73</v>
      </c>
      <c r="O98" s="65">
        <v>9.4700000000000006</v>
      </c>
      <c r="P98" s="65">
        <v>66.5</v>
      </c>
      <c r="Q98" s="4">
        <f>SUM($D$87:D98)/$C$87*100</f>
        <v>11</v>
      </c>
    </row>
    <row r="99" spans="1:17" ht="15">
      <c r="A99" s="64">
        <v>12</v>
      </c>
      <c r="B99" s="65">
        <v>100</v>
      </c>
      <c r="C99" s="65">
        <v>890</v>
      </c>
      <c r="D99" s="65">
        <v>10</v>
      </c>
      <c r="E99" s="65">
        <v>879</v>
      </c>
      <c r="F99" s="65">
        <v>0.69799999999999995</v>
      </c>
      <c r="G99" s="65">
        <v>0</v>
      </c>
      <c r="H99" s="65">
        <v>1.23</v>
      </c>
      <c r="I99" s="65">
        <v>3.12</v>
      </c>
      <c r="J99" s="65">
        <v>6.31</v>
      </c>
      <c r="K99" s="65">
        <v>24.1</v>
      </c>
      <c r="L99" s="65">
        <v>0.41699999999999998</v>
      </c>
      <c r="M99" s="65">
        <v>0.63600000000000001</v>
      </c>
      <c r="N99" s="65">
        <v>73.2</v>
      </c>
      <c r="O99" s="65">
        <v>9.26</v>
      </c>
      <c r="P99" s="65">
        <v>66.2</v>
      </c>
      <c r="Q99" s="4">
        <f>SUM($D$87:D99)/$C$87*100</f>
        <v>12</v>
      </c>
    </row>
    <row r="100" spans="1:17" ht="15">
      <c r="A100" s="64">
        <v>13</v>
      </c>
      <c r="B100" s="65">
        <v>100</v>
      </c>
      <c r="C100" s="65">
        <v>879</v>
      </c>
      <c r="D100" s="65">
        <v>10</v>
      </c>
      <c r="E100" s="65">
        <v>868</v>
      </c>
      <c r="F100" s="65">
        <v>2.0499999999999998</v>
      </c>
      <c r="G100" s="65">
        <v>0</v>
      </c>
      <c r="H100" s="65">
        <v>1.19</v>
      </c>
      <c r="I100" s="65">
        <v>3.16</v>
      </c>
      <c r="J100" s="65">
        <v>6.39</v>
      </c>
      <c r="K100" s="65">
        <v>24.3</v>
      </c>
      <c r="L100" s="65">
        <v>0.42299999999999999</v>
      </c>
      <c r="M100" s="65">
        <v>0.64400000000000002</v>
      </c>
      <c r="N100" s="65">
        <v>73.5</v>
      </c>
      <c r="O100" s="65">
        <v>8.84</v>
      </c>
      <c r="P100" s="65">
        <v>65.900000000000006</v>
      </c>
      <c r="Q100" s="4">
        <f>SUM($D$87:D100)/$C$87*100</f>
        <v>13</v>
      </c>
    </row>
    <row r="101" spans="1:17" ht="15">
      <c r="A101" s="64">
        <v>14</v>
      </c>
      <c r="B101" s="65">
        <v>100</v>
      </c>
      <c r="C101" s="65">
        <v>868</v>
      </c>
      <c r="D101" s="65">
        <v>10</v>
      </c>
      <c r="E101" s="65">
        <v>857</v>
      </c>
      <c r="F101" s="65">
        <v>3.38</v>
      </c>
      <c r="G101" s="65">
        <v>0</v>
      </c>
      <c r="H101" s="65">
        <v>1.1399999999999999</v>
      </c>
      <c r="I101" s="65">
        <v>3.2</v>
      </c>
      <c r="J101" s="65">
        <v>6.48</v>
      </c>
      <c r="K101" s="65">
        <v>24.5</v>
      </c>
      <c r="L101" s="65">
        <v>0.42799999999999999</v>
      </c>
      <c r="M101" s="65">
        <v>0.65300000000000002</v>
      </c>
      <c r="N101" s="65">
        <v>73.8</v>
      </c>
      <c r="O101" s="65">
        <v>8.43</v>
      </c>
      <c r="P101" s="65">
        <v>65.599999999999994</v>
      </c>
      <c r="Q101" s="4">
        <f>SUM($D$87:D101)/$C$87*100</f>
        <v>14.000000000000002</v>
      </c>
    </row>
    <row r="102" spans="1:17" ht="15">
      <c r="A102" s="64">
        <v>15</v>
      </c>
      <c r="B102" s="65">
        <v>100</v>
      </c>
      <c r="C102" s="65">
        <v>857</v>
      </c>
      <c r="D102" s="65">
        <v>10</v>
      </c>
      <c r="E102" s="65">
        <v>845</v>
      </c>
      <c r="F102" s="65">
        <v>4.71</v>
      </c>
      <c r="G102" s="65">
        <v>0</v>
      </c>
      <c r="H102" s="65">
        <v>1.0900000000000001</v>
      </c>
      <c r="I102" s="65">
        <v>3.24</v>
      </c>
      <c r="J102" s="65">
        <v>6.57</v>
      </c>
      <c r="K102" s="65">
        <v>24.8</v>
      </c>
      <c r="L102" s="65">
        <v>0.434</v>
      </c>
      <c r="M102" s="65">
        <v>0.66100000000000003</v>
      </c>
      <c r="N102" s="65">
        <v>74.2</v>
      </c>
      <c r="O102" s="65">
        <v>8.02</v>
      </c>
      <c r="P102" s="65">
        <v>65.3</v>
      </c>
      <c r="Q102" s="4">
        <f>SUM($D$87:D102)/$C$87*100</f>
        <v>15</v>
      </c>
    </row>
    <row r="103" spans="1:17" ht="15">
      <c r="A103" s="64">
        <v>16</v>
      </c>
      <c r="B103" s="65">
        <v>100</v>
      </c>
      <c r="C103" s="65">
        <v>845</v>
      </c>
      <c r="D103" s="65">
        <v>10</v>
      </c>
      <c r="E103" s="65">
        <v>834</v>
      </c>
      <c r="F103" s="65">
        <v>6.02</v>
      </c>
      <c r="G103" s="65">
        <v>0</v>
      </c>
      <c r="H103" s="65">
        <v>1.05</v>
      </c>
      <c r="I103" s="65">
        <v>3.29</v>
      </c>
      <c r="J103" s="65">
        <v>6.65</v>
      </c>
      <c r="K103" s="65">
        <v>25</v>
      </c>
      <c r="L103" s="65">
        <v>0.44</v>
      </c>
      <c r="M103" s="65">
        <v>0.67</v>
      </c>
      <c r="N103" s="65">
        <v>74.5</v>
      </c>
      <c r="O103" s="65">
        <v>7.6</v>
      </c>
      <c r="P103" s="65">
        <v>65</v>
      </c>
      <c r="Q103" s="4">
        <f>SUM($D$87:D103)/$C$87*100</f>
        <v>16</v>
      </c>
    </row>
    <row r="104" spans="1:17" ht="15">
      <c r="A104" s="64">
        <v>17</v>
      </c>
      <c r="B104" s="65">
        <v>100</v>
      </c>
      <c r="C104" s="65">
        <v>834</v>
      </c>
      <c r="D104" s="65">
        <v>10</v>
      </c>
      <c r="E104" s="65">
        <v>823</v>
      </c>
      <c r="F104" s="65">
        <v>7.33</v>
      </c>
      <c r="G104" s="65">
        <v>0</v>
      </c>
      <c r="H104" s="65">
        <v>0.999</v>
      </c>
      <c r="I104" s="65">
        <v>3.33</v>
      </c>
      <c r="J104" s="65">
        <v>6.75</v>
      </c>
      <c r="K104" s="65">
        <v>25.3</v>
      </c>
      <c r="L104" s="65">
        <v>0.44600000000000001</v>
      </c>
      <c r="M104" s="65">
        <v>0.67900000000000005</v>
      </c>
      <c r="N104" s="65">
        <v>74.8</v>
      </c>
      <c r="O104" s="65">
        <v>7.19</v>
      </c>
      <c r="P104" s="65">
        <v>64.599999999999994</v>
      </c>
      <c r="Q104" s="4">
        <f>SUM($D$87:D104)/$C$87*100</f>
        <v>17</v>
      </c>
    </row>
    <row r="105" spans="1:17" ht="15">
      <c r="A105" s="64">
        <v>18</v>
      </c>
      <c r="B105" s="65">
        <v>100</v>
      </c>
      <c r="C105" s="65">
        <v>823</v>
      </c>
      <c r="D105" s="65">
        <v>10</v>
      </c>
      <c r="E105" s="65">
        <v>811</v>
      </c>
      <c r="F105" s="65">
        <v>8.6300000000000008</v>
      </c>
      <c r="G105" s="65">
        <v>0</v>
      </c>
      <c r="H105" s="65">
        <v>0.95</v>
      </c>
      <c r="I105" s="65">
        <v>3.38</v>
      </c>
      <c r="J105" s="65">
        <v>6.84</v>
      </c>
      <c r="K105" s="65">
        <v>25.5</v>
      </c>
      <c r="L105" s="65">
        <v>0.45200000000000001</v>
      </c>
      <c r="M105" s="65">
        <v>0.68899999999999995</v>
      </c>
      <c r="N105" s="65">
        <v>75.2</v>
      </c>
      <c r="O105" s="65">
        <v>6.77</v>
      </c>
      <c r="P105" s="65">
        <v>64.3</v>
      </c>
      <c r="Q105" s="4">
        <f>SUM($D$87:D105)/$C$87*100</f>
        <v>18</v>
      </c>
    </row>
    <row r="106" spans="1:17" ht="15">
      <c r="A106" s="64">
        <v>19</v>
      </c>
      <c r="B106" s="65">
        <v>100</v>
      </c>
      <c r="C106" s="65">
        <v>811</v>
      </c>
      <c r="D106" s="65">
        <v>10</v>
      </c>
      <c r="E106" s="65">
        <v>800</v>
      </c>
      <c r="F106" s="65">
        <v>9.92</v>
      </c>
      <c r="G106" s="65">
        <v>0</v>
      </c>
      <c r="H106" s="65">
        <v>0.9</v>
      </c>
      <c r="I106" s="65">
        <v>3.42</v>
      </c>
      <c r="J106" s="65">
        <v>6.94</v>
      </c>
      <c r="K106" s="65">
        <v>25.8</v>
      </c>
      <c r="L106" s="65">
        <v>0.45900000000000002</v>
      </c>
      <c r="M106" s="65">
        <v>0.69899999999999995</v>
      </c>
      <c r="N106" s="65">
        <v>75.5</v>
      </c>
      <c r="O106" s="65">
        <v>6.35</v>
      </c>
      <c r="P106" s="65">
        <v>64</v>
      </c>
      <c r="Q106" s="4">
        <f>SUM($D$87:D106)/$C$87*100</f>
        <v>19</v>
      </c>
    </row>
    <row r="107" spans="1:17" ht="15">
      <c r="A107" s="64">
        <v>20</v>
      </c>
      <c r="B107" s="65">
        <v>100</v>
      </c>
      <c r="C107" s="65">
        <v>800</v>
      </c>
      <c r="D107" s="65">
        <v>10</v>
      </c>
      <c r="E107" s="65">
        <v>789</v>
      </c>
      <c r="F107" s="65">
        <v>11.2</v>
      </c>
      <c r="G107" s="65">
        <v>0</v>
      </c>
      <c r="H107" s="65">
        <v>0.84799999999999998</v>
      </c>
      <c r="I107" s="65">
        <v>3.47</v>
      </c>
      <c r="J107" s="65">
        <v>7.04</v>
      </c>
      <c r="K107" s="65">
        <v>26.1</v>
      </c>
      <c r="L107" s="65">
        <v>0.46500000000000002</v>
      </c>
      <c r="M107" s="65">
        <v>0.70899999999999996</v>
      </c>
      <c r="N107" s="65">
        <v>75.900000000000006</v>
      </c>
      <c r="O107" s="65">
        <v>5.93</v>
      </c>
      <c r="P107" s="65">
        <v>63.6</v>
      </c>
      <c r="Q107" s="4">
        <f>SUM($D$87:D107)/$C$87*100</f>
        <v>20</v>
      </c>
    </row>
    <row r="108" spans="1:17" ht="15">
      <c r="A108" s="64">
        <v>21</v>
      </c>
      <c r="B108" s="65">
        <v>100</v>
      </c>
      <c r="C108" s="65">
        <v>789</v>
      </c>
      <c r="D108" s="65">
        <v>10</v>
      </c>
      <c r="E108" s="65">
        <v>778</v>
      </c>
      <c r="F108" s="65">
        <v>12.5</v>
      </c>
      <c r="G108" s="65">
        <v>0</v>
      </c>
      <c r="H108" s="65">
        <v>0.79600000000000004</v>
      </c>
      <c r="I108" s="65">
        <v>3.52</v>
      </c>
      <c r="J108" s="65">
        <v>7.14</v>
      </c>
      <c r="K108" s="65">
        <v>26.3</v>
      </c>
      <c r="L108" s="65">
        <v>0.47199999999999998</v>
      </c>
      <c r="M108" s="65">
        <v>0.71899999999999997</v>
      </c>
      <c r="N108" s="65">
        <v>76.2</v>
      </c>
      <c r="O108" s="65">
        <v>5.51</v>
      </c>
      <c r="P108" s="65">
        <v>63.3</v>
      </c>
      <c r="Q108" s="4">
        <f>SUM($D$87:D108)/$C$87*100</f>
        <v>21</v>
      </c>
    </row>
    <row r="109" spans="1:17" ht="15">
      <c r="A109" s="64">
        <v>22</v>
      </c>
      <c r="B109" s="65">
        <v>100</v>
      </c>
      <c r="C109" s="65">
        <v>778</v>
      </c>
      <c r="D109" s="65">
        <v>10</v>
      </c>
      <c r="E109" s="65">
        <v>766</v>
      </c>
      <c r="F109" s="65">
        <v>13.8</v>
      </c>
      <c r="G109" s="65">
        <v>0</v>
      </c>
      <c r="H109" s="65">
        <v>0.74199999999999999</v>
      </c>
      <c r="I109" s="65">
        <v>3.58</v>
      </c>
      <c r="J109" s="65">
        <v>7.24</v>
      </c>
      <c r="K109" s="65">
        <v>26.6</v>
      </c>
      <c r="L109" s="65">
        <v>0.47899999999999998</v>
      </c>
      <c r="M109" s="65">
        <v>0.73</v>
      </c>
      <c r="N109" s="65">
        <v>76.5</v>
      </c>
      <c r="O109" s="65">
        <v>5.08</v>
      </c>
      <c r="P109" s="65">
        <v>62.9</v>
      </c>
      <c r="Q109" s="4">
        <f>SUM($D$87:D109)/$C$87*100</f>
        <v>22</v>
      </c>
    </row>
    <row r="110" spans="1:17" ht="15">
      <c r="A110" s="64">
        <v>23</v>
      </c>
      <c r="B110" s="65">
        <v>100</v>
      </c>
      <c r="C110" s="65">
        <v>766</v>
      </c>
      <c r="D110" s="65">
        <v>10</v>
      </c>
      <c r="E110" s="65">
        <v>735</v>
      </c>
      <c r="F110" s="65">
        <v>15.5</v>
      </c>
      <c r="G110" s="65">
        <v>19.600000000000001</v>
      </c>
      <c r="H110" s="65">
        <v>0.68300000000000005</v>
      </c>
      <c r="I110" s="65">
        <v>3.35</v>
      </c>
      <c r="J110" s="65">
        <v>7.32</v>
      </c>
      <c r="K110" s="65">
        <v>26.6</v>
      </c>
      <c r="L110" s="65">
        <v>0.499</v>
      </c>
      <c r="M110" s="65">
        <v>0.76100000000000001</v>
      </c>
      <c r="N110" s="65">
        <v>77.900000000000006</v>
      </c>
      <c r="O110" s="65">
        <v>4.71</v>
      </c>
      <c r="P110" s="65">
        <v>63.2</v>
      </c>
      <c r="Q110" s="4">
        <f>SUM($D$87:D110)/$C$87*100</f>
        <v>23</v>
      </c>
    </row>
    <row r="111" spans="1:17" ht="15">
      <c r="A111" s="64">
        <v>24</v>
      </c>
      <c r="B111" s="65">
        <v>100</v>
      </c>
      <c r="C111" s="65">
        <v>735</v>
      </c>
      <c r="D111" s="65">
        <v>10</v>
      </c>
      <c r="E111" s="65">
        <v>704</v>
      </c>
      <c r="F111" s="65">
        <v>16.899999999999999</v>
      </c>
      <c r="G111" s="65">
        <v>38.700000000000003</v>
      </c>
      <c r="H111" s="65">
        <v>0.63200000000000001</v>
      </c>
      <c r="I111" s="65">
        <v>3.12</v>
      </c>
      <c r="J111" s="65">
        <v>7.4</v>
      </c>
      <c r="K111" s="65">
        <v>26.6</v>
      </c>
      <c r="L111" s="65">
        <v>0.52100000000000002</v>
      </c>
      <c r="M111" s="65">
        <v>0.79400000000000004</v>
      </c>
      <c r="N111" s="65">
        <v>79.3</v>
      </c>
      <c r="O111" s="65">
        <v>4.3899999999999997</v>
      </c>
      <c r="P111" s="65">
        <v>63.4</v>
      </c>
      <c r="Q111" s="4">
        <f>SUM($D$87:D111)/$C$87*100</f>
        <v>24</v>
      </c>
    </row>
    <row r="112" spans="1:17" ht="15">
      <c r="A112" s="64">
        <v>25</v>
      </c>
      <c r="B112" s="65">
        <v>100</v>
      </c>
      <c r="C112" s="65">
        <v>704</v>
      </c>
      <c r="D112" s="65">
        <v>10</v>
      </c>
      <c r="E112" s="65">
        <v>678</v>
      </c>
      <c r="F112" s="65">
        <v>18.100000000000001</v>
      </c>
      <c r="G112" s="65">
        <v>53.8</v>
      </c>
      <c r="H112" s="65">
        <v>0.58699999999999997</v>
      </c>
      <c r="I112" s="65">
        <v>2.92</v>
      </c>
      <c r="J112" s="65">
        <v>7.49</v>
      </c>
      <c r="K112" s="65">
        <v>26.6</v>
      </c>
      <c r="L112" s="65">
        <v>0.54100000000000004</v>
      </c>
      <c r="M112" s="65">
        <v>0.82399999999999995</v>
      </c>
      <c r="N112" s="65">
        <v>80.599999999999994</v>
      </c>
      <c r="O112" s="65">
        <v>4.0999999999999996</v>
      </c>
      <c r="P112" s="65">
        <v>63.5</v>
      </c>
      <c r="Q112" s="4">
        <f>SUM($D$87:D112)/$C$87*100</f>
        <v>25</v>
      </c>
    </row>
    <row r="113" spans="1:17" ht="15">
      <c r="A113" s="64">
        <v>26</v>
      </c>
      <c r="B113" s="65">
        <v>100</v>
      </c>
      <c r="C113" s="65">
        <v>678</v>
      </c>
      <c r="D113" s="65">
        <v>10</v>
      </c>
      <c r="E113" s="65">
        <v>654</v>
      </c>
      <c r="F113" s="65">
        <v>19.100000000000001</v>
      </c>
      <c r="G113" s="65">
        <v>67</v>
      </c>
      <c r="H113" s="65">
        <v>0.54800000000000004</v>
      </c>
      <c r="I113" s="65">
        <v>2.75</v>
      </c>
      <c r="J113" s="65">
        <v>7.59</v>
      </c>
      <c r="K113" s="65">
        <v>26.8</v>
      </c>
      <c r="L113" s="65">
        <v>0.56100000000000005</v>
      </c>
      <c r="M113" s="65">
        <v>0.85499999999999998</v>
      </c>
      <c r="N113" s="65">
        <v>81.8</v>
      </c>
      <c r="O113" s="65">
        <v>3.83</v>
      </c>
      <c r="P113" s="65">
        <v>63.6</v>
      </c>
      <c r="Q113" s="4">
        <f>SUM($D$87:D113)/$C$87*100</f>
        <v>26</v>
      </c>
    </row>
    <row r="114" spans="1:17" ht="15">
      <c r="A114" s="64">
        <v>27</v>
      </c>
      <c r="B114" s="65">
        <v>100</v>
      </c>
      <c r="C114" s="65">
        <v>654</v>
      </c>
      <c r="D114" s="65">
        <v>10</v>
      </c>
      <c r="E114" s="65">
        <v>631</v>
      </c>
      <c r="F114" s="65">
        <v>20</v>
      </c>
      <c r="G114" s="65">
        <v>79.099999999999994</v>
      </c>
      <c r="H114" s="65">
        <v>0.51300000000000001</v>
      </c>
      <c r="I114" s="65">
        <v>2.58</v>
      </c>
      <c r="J114" s="65">
        <v>7.7</v>
      </c>
      <c r="K114" s="65">
        <v>26.9</v>
      </c>
      <c r="L114" s="65">
        <v>0.58199999999999996</v>
      </c>
      <c r="M114" s="65">
        <v>0.88600000000000001</v>
      </c>
      <c r="N114" s="65">
        <v>82.9</v>
      </c>
      <c r="O114" s="65">
        <v>3.58</v>
      </c>
      <c r="P114" s="65">
        <v>63.6</v>
      </c>
      <c r="Q114" s="4">
        <f>SUM($D$87:D114)/$C$87*100</f>
        <v>27</v>
      </c>
    </row>
    <row r="115" spans="1:17" ht="15">
      <c r="A115" s="64">
        <v>28</v>
      </c>
      <c r="B115" s="65">
        <v>100</v>
      </c>
      <c r="C115" s="65">
        <v>631</v>
      </c>
      <c r="D115" s="65">
        <v>10</v>
      </c>
      <c r="E115" s="65">
        <v>609</v>
      </c>
      <c r="F115" s="65">
        <v>20.8</v>
      </c>
      <c r="G115" s="65">
        <v>90.4</v>
      </c>
      <c r="H115" s="65">
        <v>0.48199999999999998</v>
      </c>
      <c r="I115" s="65">
        <v>2.41</v>
      </c>
      <c r="J115" s="65">
        <v>7.82</v>
      </c>
      <c r="K115" s="65">
        <v>27.1</v>
      </c>
      <c r="L115" s="65">
        <v>0.60299999999999998</v>
      </c>
      <c r="M115" s="65">
        <v>0.91800000000000004</v>
      </c>
      <c r="N115" s="65">
        <v>84</v>
      </c>
      <c r="O115" s="65">
        <v>3.36</v>
      </c>
      <c r="P115" s="65">
        <v>63.5</v>
      </c>
      <c r="Q115" s="4">
        <f>SUM($D$87:D115)/$C$87*100</f>
        <v>28.000000000000004</v>
      </c>
    </row>
    <row r="116" spans="1:17" ht="15">
      <c r="A116" s="64">
        <v>29</v>
      </c>
      <c r="B116" s="65">
        <v>100</v>
      </c>
      <c r="C116" s="65">
        <v>609</v>
      </c>
      <c r="D116" s="65">
        <v>10</v>
      </c>
      <c r="E116" s="65">
        <v>587</v>
      </c>
      <c r="F116" s="65">
        <v>21.4</v>
      </c>
      <c r="G116" s="65">
        <v>101</v>
      </c>
      <c r="H116" s="65">
        <v>0.45600000000000002</v>
      </c>
      <c r="I116" s="65">
        <v>2.2400000000000002</v>
      </c>
      <c r="J116" s="65">
        <v>7.94</v>
      </c>
      <c r="K116" s="65">
        <v>27.3</v>
      </c>
      <c r="L116" s="65">
        <v>0.625</v>
      </c>
      <c r="M116" s="65">
        <v>0.95199999999999996</v>
      </c>
      <c r="N116" s="65">
        <v>85.1</v>
      </c>
      <c r="O116" s="65">
        <v>3.17</v>
      </c>
      <c r="P116" s="65">
        <v>63.4</v>
      </c>
      <c r="Q116" s="4">
        <f>SUM($D$87:D116)/$C$87*100</f>
        <v>28.999999999999996</v>
      </c>
    </row>
    <row r="117" spans="1:17" ht="15">
      <c r="A117" s="64">
        <v>30</v>
      </c>
      <c r="B117" s="65">
        <v>100</v>
      </c>
      <c r="C117" s="65">
        <v>587</v>
      </c>
      <c r="D117" s="65">
        <v>10</v>
      </c>
      <c r="E117" s="65">
        <v>566</v>
      </c>
      <c r="F117" s="65">
        <v>22</v>
      </c>
      <c r="G117" s="65">
        <v>112</v>
      </c>
      <c r="H117" s="65">
        <v>0.433</v>
      </c>
      <c r="I117" s="65">
        <v>2.06</v>
      </c>
      <c r="J117" s="65">
        <v>8.08</v>
      </c>
      <c r="K117" s="65">
        <v>27.6</v>
      </c>
      <c r="L117" s="65">
        <v>0.64800000000000002</v>
      </c>
      <c r="M117" s="65">
        <v>0.98699999999999999</v>
      </c>
      <c r="N117" s="65">
        <v>86.3</v>
      </c>
      <c r="O117" s="65">
        <v>3</v>
      </c>
      <c r="P117" s="65">
        <v>63.3</v>
      </c>
      <c r="Q117" s="4">
        <f>SUM($D$87:D117)/$C$87*100</f>
        <v>30</v>
      </c>
    </row>
    <row r="118" spans="1:17" ht="15">
      <c r="A118" s="64">
        <v>31</v>
      </c>
      <c r="B118" s="65">
        <v>100</v>
      </c>
      <c r="C118" s="65">
        <v>566</v>
      </c>
      <c r="D118" s="65">
        <v>10</v>
      </c>
      <c r="E118" s="65">
        <v>546</v>
      </c>
      <c r="F118" s="65">
        <v>22.5</v>
      </c>
      <c r="G118" s="65">
        <v>122</v>
      </c>
      <c r="H118" s="65">
        <v>0.41299999999999998</v>
      </c>
      <c r="I118" s="65">
        <v>1.88</v>
      </c>
      <c r="J118" s="65">
        <v>8.2200000000000006</v>
      </c>
      <c r="K118" s="65">
        <v>27.9</v>
      </c>
      <c r="L118" s="65">
        <v>0.67200000000000004</v>
      </c>
      <c r="M118" s="65">
        <v>1.02</v>
      </c>
      <c r="N118" s="65">
        <v>87.4</v>
      </c>
      <c r="O118" s="65">
        <v>2.85</v>
      </c>
      <c r="P118" s="65">
        <v>63.1</v>
      </c>
      <c r="Q118" s="4">
        <f>SUM($D$87:D118)/$C$87*100</f>
        <v>31</v>
      </c>
    </row>
    <row r="119" spans="1:17" ht="15">
      <c r="A119" s="64">
        <v>32</v>
      </c>
      <c r="B119" s="65">
        <v>100</v>
      </c>
      <c r="C119" s="65">
        <v>546</v>
      </c>
      <c r="D119" s="65">
        <v>10</v>
      </c>
      <c r="E119" s="65">
        <v>526</v>
      </c>
      <c r="F119" s="65">
        <v>23</v>
      </c>
      <c r="G119" s="65">
        <v>131</v>
      </c>
      <c r="H119" s="65">
        <v>0.39300000000000002</v>
      </c>
      <c r="I119" s="65">
        <v>1.7</v>
      </c>
      <c r="J119" s="65">
        <v>8.3699999999999992</v>
      </c>
      <c r="K119" s="65">
        <v>28.2</v>
      </c>
      <c r="L119" s="65">
        <v>0.69799999999999995</v>
      </c>
      <c r="M119" s="65">
        <v>1.06</v>
      </c>
      <c r="N119" s="65">
        <v>88.6</v>
      </c>
      <c r="O119" s="65">
        <v>2.7</v>
      </c>
      <c r="P119" s="65">
        <v>62.9</v>
      </c>
      <c r="Q119" s="4">
        <f>SUM($D$87:D119)/$C$87*100</f>
        <v>32</v>
      </c>
    </row>
  </sheetData>
  <mergeCells count="7">
    <mergeCell ref="B31:B35"/>
    <mergeCell ref="B4:B5"/>
    <mergeCell ref="B6:B10"/>
    <mergeCell ref="B11:B15"/>
    <mergeCell ref="B16:B20"/>
    <mergeCell ref="B21:B25"/>
    <mergeCell ref="B26:B30"/>
  </mergeCells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802762d2-02c4-4677-98ba-54060a234204}" enabled="0" method="" siteId="{802762d2-02c4-4677-98ba-54060a2342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יכולות אקסל</vt:lpstr>
      <vt:lpstr>2. רשת נוירונים</vt:lpstr>
      <vt:lpstr>8. ייצוא לאקסל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Gaponenko (Tami)</dc:creator>
  <cp:lastModifiedBy>Vladimir Gaponenko (Tami)</cp:lastModifiedBy>
  <dcterms:created xsi:type="dcterms:W3CDTF">2026-01-18T08:52:14Z</dcterms:created>
  <dcterms:modified xsi:type="dcterms:W3CDTF">2026-01-21T13:37:41Z</dcterms:modified>
</cp:coreProperties>
</file>